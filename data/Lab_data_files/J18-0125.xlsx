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103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H5" i="1"/>
  <c r="H6" i="1"/>
  <c r="H7" i="1"/>
  <c r="H8" i="1"/>
  <c r="H4" i="1"/>
</calcChain>
</file>

<file path=xl/sharedStrings.xml><?xml version="1.0" encoding="utf-8"?>
<sst xmlns="http://schemas.openxmlformats.org/spreadsheetml/2006/main" count="245" uniqueCount="81">
  <si>
    <t>Reference</t>
  </si>
  <si>
    <t>Units</t>
  </si>
  <si>
    <t>Sample</t>
  </si>
  <si>
    <t>No.</t>
  </si>
  <si>
    <t>Bottle ID for Sample Bottle</t>
  </si>
  <si>
    <t>Electrical Conductivity</t>
  </si>
  <si>
    <t>µS/cm</t>
  </si>
  <si>
    <t>Salinity</t>
  </si>
  <si>
    <t>PSU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</si>
  <si>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</si>
  <si>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</si>
  <si>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</si>
  <si>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</si>
  <si>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</si>
  <si>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</si>
  <si>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</si>
  <si>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</si>
  <si>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</si>
  <si>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Silver UT</t>
  </si>
  <si>
    <t>Cadmium UT</t>
  </si>
  <si>
    <t>Copper UT</t>
  </si>
  <si>
    <t>Lead UT</t>
  </si>
  <si>
    <t>Nickel UT</t>
  </si>
  <si>
    <t>Arsenic UT</t>
  </si>
  <si>
    <t>Zinc UT</t>
  </si>
  <si>
    <t>J18-0125</t>
  </si>
  <si>
    <t>WP_AMB1</t>
  </si>
  <si>
    <t>&lt;0.2</t>
  </si>
  <si>
    <t>&lt;0.1</t>
  </si>
  <si>
    <t>&lt;0.5</t>
  </si>
  <si>
    <t>WP_AMB2</t>
  </si>
  <si>
    <t>&lt;1</t>
  </si>
  <si>
    <t>WP_AMB3</t>
  </si>
  <si>
    <t>WP_AMB4</t>
  </si>
  <si>
    <t>&lt;5</t>
  </si>
  <si>
    <t>WP_AMB5</t>
  </si>
  <si>
    <t/>
  </si>
  <si>
    <t>PN</t>
  </si>
  <si>
    <t>PP</t>
  </si>
  <si>
    <t>&lt;0.0002</t>
  </si>
  <si>
    <t>0.0016</t>
  </si>
  <si>
    <t>&lt;0.001</t>
  </si>
  <si>
    <t>J18-0125/5</t>
  </si>
  <si>
    <t>0.0022</t>
  </si>
  <si>
    <t>J18-0125/4</t>
  </si>
  <si>
    <t>0.0017</t>
  </si>
  <si>
    <t>J18-0125/3</t>
  </si>
  <si>
    <t>0.0024</t>
  </si>
  <si>
    <t>J18-0125/2</t>
  </si>
  <si>
    <t>0.0003</t>
  </si>
  <si>
    <t>0.0005</t>
  </si>
  <si>
    <t>J18-0125/1</t>
  </si>
  <si>
    <t>Terbutryn</t>
  </si>
  <si>
    <t>Terbuthylazine</t>
  </si>
  <si>
    <t>Simazine</t>
  </si>
  <si>
    <t>Propazine</t>
  </si>
  <si>
    <t>Prometryn</t>
  </si>
  <si>
    <t>Cyanazine</t>
  </si>
  <si>
    <t>Atrazine</t>
  </si>
  <si>
    <t>Ametryn</t>
  </si>
  <si>
    <t>Diuron</t>
  </si>
  <si>
    <t>Penconazole</t>
  </si>
  <si>
    <t>Flusilazole</t>
  </si>
  <si>
    <t>Tebuconazole</t>
  </si>
  <si>
    <t>Difenoconazole</t>
  </si>
  <si>
    <t>Hexaconazole</t>
  </si>
  <si>
    <t>Propiconazole</t>
  </si>
  <si>
    <t>Hexazinone</t>
  </si>
  <si>
    <t>Pendimethalin</t>
  </si>
  <si>
    <t>Thiobencarb</t>
  </si>
  <si>
    <t>Pirimiphos-methyl</t>
  </si>
  <si>
    <t>Diazinon</t>
  </si>
  <si>
    <t>Malathion</t>
  </si>
  <si>
    <t>Chlorpyrifos</t>
  </si>
  <si>
    <t>EP234H: Triazine Herbicides</t>
  </si>
  <si>
    <t>EP234F: Phenylurea, Thizdiazolurea, Uracil and Sulfonylurea Herbicides</t>
  </si>
  <si>
    <t>EP234E: Conazole and Aminopyrimidine Fungicides</t>
  </si>
  <si>
    <t>EP234D: Triazinone Herbicides</t>
  </si>
  <si>
    <t>EP234C: Dinitroanilines</t>
  </si>
  <si>
    <t>EP234B: Thiocarbamates and Carbamates</t>
  </si>
  <si>
    <t>EP234A: OP Pesticides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</si>
</sst>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7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2" fillId="0" borderId="12" xfId="0" applyNumberFormat="1" applyFont="1" applyFill="1" applyBorder="1" applyAlignment="1" applyProtection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6" xfId="0" applyBorder="1"/>
    <xf numFmtId="0" fontId="2" fillId="0" borderId="13" xfId="0" applyNumberFormat="1" applyFont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NumberFormat="1" applyFont="1" applyFill="1" applyBorder="1" applyAlignment="1" applyProtection="1"/>
    <xf numFmtId="0" fontId="0" fillId="0" borderId="14" xfId="0" applyBorder="1" applyAlignment="1">
      <alignment horizontal="center"/>
    </xf>
    <xf numFmtId="0" fontId="3" fillId="3" borderId="15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0" fontId="3" fillId="3" borderId="16" xfId="0" applyNumberFormat="1" applyFont="1" applyFill="1" applyBorder="1" applyAlignment="1" applyProtection="1">
      <alignment horizontal="center"/>
    </xf>
    <xf numFmtId="0" fontId="3" fillId="3" borderId="17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"/>
  <sheetViews>
    <sheetView tabSelected="1" workbookViewId="0">
      <selection activeCell="B8" sqref="B8"/>
    </sheetView>
  </sheetViews>
  <sheetFormatPr defaultRowHeight="15" x14ac:dyDescent="0.25"/>
  <cols>
    <col min="3" max="3" width="23" bestFit="1" customWidth="1"/>
    <col min="4" max="4" width="18.85546875" style="16" bestFit="1" customWidth="1"/>
    <col min="5" max="5" width="9.140625" style="16"/>
    <col min="6" max="6" width="12.5703125" style="16" bestFit="1" customWidth="1"/>
    <col min="7" max="7" width="21" style="16" bestFit="1" customWidth="1"/>
    <col min="8" max="8" width="6.28515625" style="16" bestFit="1" customWidth="1"/>
    <col min="9" max="9" width="15.28515625" style="16" bestFit="1" customWidth="1"/>
    <col min="10" max="10" width="23.7109375" style="16" bestFit="1" customWidth="1"/>
    <col min="11" max="11" width="6.140625" style="16" bestFit="1" customWidth="1"/>
    <col min="12" max="12" width="11.7109375" style="16" bestFit="1" customWidth="1"/>
    <col min="13" max="13" width="12.42578125" style="16" bestFit="1" customWidth="1"/>
    <col min="14" max="14" width="8.28515625" style="16" customWidth="1"/>
    <col min="15" max="15" width="9.140625" style="16"/>
    <col min="16" max="16" width="11.5703125" style="16" bestFit="1" customWidth="1"/>
    <col min="17" max="19" width="9.140625" style="16"/>
    <col min="20" max="20" width="9.85546875" style="16" bestFit="1" customWidth="1"/>
    <col min="21" max="21" width="9.140625" style="16"/>
  </cols>
  <sheetData>
    <row r="1" spans="1:21" x14ac:dyDescent="0.25">
      <c r="A1" s="1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11</v>
      </c>
      <c r="G1" s="2" t="s">
        <v>9</v>
      </c>
      <c r="H1" s="17" t="s">
        <v>37</v>
      </c>
      <c r="I1" s="2" t="s">
        <v>14</v>
      </c>
      <c r="J1" s="2" t="s">
        <v>12</v>
      </c>
      <c r="K1" s="18" t="s">
        <v>38</v>
      </c>
      <c r="L1" s="2" t="s">
        <v>15</v>
      </c>
      <c r="M1" s="2" t="s">
        <v>17</v>
      </c>
      <c r="N1" s="2"/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3" t="s">
        <v>24</v>
      </c>
    </row>
    <row r="2" spans="1:21" x14ac:dyDescent="0.25">
      <c r="A2" s="4"/>
      <c r="B2" s="6" t="s">
        <v>3</v>
      </c>
      <c r="C2" s="6"/>
      <c r="D2" s="6"/>
      <c r="E2" s="6"/>
      <c r="F2" s="6"/>
      <c r="G2" s="6"/>
      <c r="H2" s="18"/>
      <c r="I2" s="6"/>
      <c r="J2" s="6"/>
      <c r="K2" s="18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25">
      <c r="A3" s="4" t="s">
        <v>1</v>
      </c>
      <c r="B3" s="5"/>
      <c r="C3" s="6"/>
      <c r="D3" s="6" t="s">
        <v>6</v>
      </c>
      <c r="E3" s="6" t="s">
        <v>8</v>
      </c>
      <c r="F3" s="6" t="s">
        <v>10</v>
      </c>
      <c r="G3" s="6" t="s">
        <v>10</v>
      </c>
      <c r="H3" s="18" t="s">
        <v>10</v>
      </c>
      <c r="I3" s="6" t="s">
        <v>13</v>
      </c>
      <c r="J3" s="6" t="s">
        <v>13</v>
      </c>
      <c r="K3" s="18" t="s">
        <v>13</v>
      </c>
      <c r="L3" s="6" t="s">
        <v>16</v>
      </c>
      <c r="M3" s="6" t="s">
        <v>16</v>
      </c>
      <c r="N3" s="6"/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7"/>
    </row>
    <row r="4" spans="1:21" x14ac:dyDescent="0.25">
      <c r="A4" s="8" t="s">
        <v>25</v>
      </c>
      <c r="B4" s="9">
        <v>1</v>
      </c>
      <c r="C4" s="10" t="s">
        <v>26</v>
      </c>
      <c r="D4" s="14">
        <v>44250</v>
      </c>
      <c r="E4" s="14">
        <v>28.6</v>
      </c>
      <c r="F4" s="14">
        <v>211</v>
      </c>
      <c r="G4" s="14">
        <v>83</v>
      </c>
      <c r="H4" s="19">
        <f>+F4-G4</f>
        <v>128</v>
      </c>
      <c r="I4" s="14">
        <v>12</v>
      </c>
      <c r="J4" s="14">
        <v>7</v>
      </c>
      <c r="K4" s="18">
        <f>+I4-J4</f>
        <v>5</v>
      </c>
      <c r="L4" s="14">
        <v>2.16</v>
      </c>
      <c r="M4" s="14" t="s">
        <v>27</v>
      </c>
      <c r="N4" s="14"/>
      <c r="O4" s="14" t="s">
        <v>28</v>
      </c>
      <c r="P4" s="14" t="s">
        <v>27</v>
      </c>
      <c r="Q4" s="14">
        <v>1</v>
      </c>
      <c r="R4" s="14" t="s">
        <v>27</v>
      </c>
      <c r="S4" s="14" t="s">
        <v>29</v>
      </c>
      <c r="T4" s="14">
        <v>1.3</v>
      </c>
      <c r="U4" s="14">
        <v>10</v>
      </c>
    </row>
    <row r="5" spans="1:21" x14ac:dyDescent="0.25">
      <c r="A5" s="8" t="s">
        <v>25</v>
      </c>
      <c r="B5" s="9">
        <v>2</v>
      </c>
      <c r="C5" s="10" t="s">
        <v>30</v>
      </c>
      <c r="D5" s="14">
        <v>46560</v>
      </c>
      <c r="E5" s="14">
        <v>30.2</v>
      </c>
      <c r="F5" s="14">
        <v>103</v>
      </c>
      <c r="G5" s="14">
        <v>102</v>
      </c>
      <c r="H5" s="19">
        <f t="shared" ref="H5:H8" si="0">+F5-G5</f>
        <v>1</v>
      </c>
      <c r="I5" s="14">
        <v>14</v>
      </c>
      <c r="J5" s="14">
        <v>10</v>
      </c>
      <c r="K5" s="18">
        <f t="shared" ref="K5:K8" si="1">+I5-J5</f>
        <v>4</v>
      </c>
      <c r="L5" s="14">
        <v>0.84</v>
      </c>
      <c r="M5" s="14">
        <v>0.3</v>
      </c>
      <c r="N5" s="14"/>
      <c r="O5" s="14" t="s">
        <v>28</v>
      </c>
      <c r="P5" s="14" t="s">
        <v>27</v>
      </c>
      <c r="Q5" s="14" t="s">
        <v>31</v>
      </c>
      <c r="R5" s="14" t="s">
        <v>27</v>
      </c>
      <c r="S5" s="14" t="s">
        <v>29</v>
      </c>
      <c r="T5" s="14">
        <v>1.6</v>
      </c>
      <c r="U5" s="14">
        <v>6</v>
      </c>
    </row>
    <row r="6" spans="1:21" x14ac:dyDescent="0.25">
      <c r="A6" s="8" t="s">
        <v>25</v>
      </c>
      <c r="B6" s="9">
        <v>3</v>
      </c>
      <c r="C6" s="10" t="s">
        <v>32</v>
      </c>
      <c r="D6" s="14">
        <v>32690</v>
      </c>
      <c r="E6" s="14">
        <v>20.399999999999999</v>
      </c>
      <c r="F6" s="14">
        <v>84</v>
      </c>
      <c r="G6" s="14">
        <v>81</v>
      </c>
      <c r="H6" s="19">
        <f t="shared" si="0"/>
        <v>3</v>
      </c>
      <c r="I6" s="14">
        <v>13</v>
      </c>
      <c r="J6" s="14">
        <v>10</v>
      </c>
      <c r="K6" s="18">
        <f t="shared" si="1"/>
        <v>3</v>
      </c>
      <c r="L6" s="14">
        <v>0.48</v>
      </c>
      <c r="M6" s="14" t="s">
        <v>27</v>
      </c>
      <c r="N6" s="14"/>
      <c r="O6" s="14" t="s">
        <v>28</v>
      </c>
      <c r="P6" s="14" t="s">
        <v>27</v>
      </c>
      <c r="Q6" s="14" t="s">
        <v>31</v>
      </c>
      <c r="R6" s="14" t="s">
        <v>27</v>
      </c>
      <c r="S6" s="14" t="s">
        <v>29</v>
      </c>
      <c r="T6" s="14">
        <v>1.4</v>
      </c>
      <c r="U6" s="14">
        <v>7</v>
      </c>
    </row>
    <row r="7" spans="1:21" x14ac:dyDescent="0.25">
      <c r="A7" s="8" t="s">
        <v>25</v>
      </c>
      <c r="B7" s="9">
        <v>4</v>
      </c>
      <c r="C7" s="10" t="s">
        <v>33</v>
      </c>
      <c r="D7" s="14">
        <v>43360</v>
      </c>
      <c r="E7" s="14">
        <v>27.9</v>
      </c>
      <c r="F7" s="14">
        <v>155</v>
      </c>
      <c r="G7" s="14">
        <v>80</v>
      </c>
      <c r="H7" s="19">
        <f t="shared" si="0"/>
        <v>75</v>
      </c>
      <c r="I7" s="14">
        <v>14</v>
      </c>
      <c r="J7" s="14">
        <v>7</v>
      </c>
      <c r="K7" s="18">
        <f t="shared" si="1"/>
        <v>7</v>
      </c>
      <c r="L7" s="14">
        <v>3.5</v>
      </c>
      <c r="M7" s="14">
        <v>0.2</v>
      </c>
      <c r="N7" s="14"/>
      <c r="O7" s="14" t="s">
        <v>28</v>
      </c>
      <c r="P7" s="14" t="s">
        <v>27</v>
      </c>
      <c r="Q7" s="14" t="s">
        <v>31</v>
      </c>
      <c r="R7" s="14" t="s">
        <v>27</v>
      </c>
      <c r="S7" s="14" t="s">
        <v>29</v>
      </c>
      <c r="T7" s="14">
        <v>1.6</v>
      </c>
      <c r="U7" s="14" t="s">
        <v>34</v>
      </c>
    </row>
    <row r="8" spans="1:21" x14ac:dyDescent="0.25">
      <c r="A8" s="8" t="s">
        <v>25</v>
      </c>
      <c r="B8" s="9">
        <v>5</v>
      </c>
      <c r="C8" s="10" t="s">
        <v>35</v>
      </c>
      <c r="D8" s="14">
        <v>48600</v>
      </c>
      <c r="E8" s="14">
        <v>31.7</v>
      </c>
      <c r="F8" s="14">
        <v>178</v>
      </c>
      <c r="G8" s="14">
        <v>173</v>
      </c>
      <c r="H8" s="19">
        <f t="shared" si="0"/>
        <v>5</v>
      </c>
      <c r="I8" s="14">
        <v>17</v>
      </c>
      <c r="J8" s="14">
        <v>13</v>
      </c>
      <c r="K8" s="18">
        <f t="shared" si="1"/>
        <v>4</v>
      </c>
      <c r="L8" s="14">
        <v>0.81</v>
      </c>
      <c r="M8" s="14">
        <v>0.24</v>
      </c>
      <c r="N8" s="14"/>
      <c r="O8" s="14" t="s">
        <v>28</v>
      </c>
      <c r="P8" s="14" t="s">
        <v>27</v>
      </c>
      <c r="Q8" s="14" t="s">
        <v>31</v>
      </c>
      <c r="R8" s="14" t="s">
        <v>27</v>
      </c>
      <c r="S8" s="14" t="s">
        <v>29</v>
      </c>
      <c r="T8" s="14">
        <v>1.6</v>
      </c>
      <c r="U8" s="14" t="s">
        <v>34</v>
      </c>
    </row>
    <row r="9" spans="1:21" x14ac:dyDescent="0.25">
      <c r="A9" s="11" t="s">
        <v>36</v>
      </c>
      <c r="B9" s="12"/>
      <c r="C9" s="13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</sheetData>
  <pageMargins left="0.7" right="0.7" top="0.75" bottom="0.75" header="0.3" footer="0.3"/>
  <pageSetup scale="4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B13" sqref="B13"/>
    </sheetView>
  </sheetViews>
  <sheetFormatPr defaultRowHeight="15" x14ac:dyDescent="0.25"/>
  <cols>
    <col min="1" max="1" width="10.28515625" bestFit="1" customWidth="1"/>
    <col min="2" max="2" width="21.85546875" bestFit="1" customWidth="1"/>
    <col min="3" max="3" width="9.42578125" style="16" bestFit="1" customWidth="1"/>
    <col min="4" max="5" width="9.140625" style="16"/>
    <col min="6" max="6" width="17.85546875" style="16" bestFit="1" customWidth="1"/>
    <col min="8" max="8" width="39.140625" bestFit="1" customWidth="1"/>
    <col min="10" max="10" width="22.7109375" bestFit="1" customWidth="1"/>
    <col min="12" max="12" width="29.28515625" bestFit="1" customWidth="1"/>
    <col min="13" max="13" width="8.7109375" customWidth="1"/>
    <col min="14" max="14" width="13.7109375" bestFit="1" customWidth="1"/>
    <col min="15" max="15" width="13.42578125" bestFit="1" customWidth="1"/>
    <col min="16" max="16" width="15" bestFit="1" customWidth="1"/>
    <col min="19" max="19" width="12.28515625" bestFit="1" customWidth="1"/>
    <col min="21" max="21" width="67.28515625" bestFit="1" customWidth="1"/>
    <col min="22" max="22" width="8.42578125" bestFit="1" customWidth="1"/>
    <col min="23" max="23" width="18.28515625" customWidth="1"/>
    <col min="24" max="24" width="10.42578125" bestFit="1" customWidth="1"/>
    <col min="30" max="30" width="9.7109375" bestFit="1" customWidth="1"/>
  </cols>
  <sheetData>
    <row r="1" spans="1:30" x14ac:dyDescent="0.25">
      <c r="C1" s="40" t="s">
        <v>80</v>
      </c>
      <c r="D1" s="39"/>
      <c r="E1" s="39"/>
      <c r="F1" s="38"/>
      <c r="H1" s="41" t="s">
        <v>79</v>
      </c>
      <c r="J1" s="41" t="s">
        <v>78</v>
      </c>
      <c r="L1" s="41" t="s">
        <v>77</v>
      </c>
      <c r="N1" s="40" t="s">
        <v>76</v>
      </c>
      <c r="O1" s="39"/>
      <c r="P1" s="39"/>
      <c r="Q1" s="39"/>
      <c r="R1" s="39"/>
      <c r="S1" s="38"/>
      <c r="U1" s="41" t="s">
        <v>75</v>
      </c>
      <c r="W1" s="40" t="s">
        <v>74</v>
      </c>
      <c r="X1" s="39"/>
      <c r="Y1" s="39"/>
      <c r="Z1" s="39"/>
      <c r="AA1" s="39"/>
      <c r="AB1" s="39"/>
      <c r="AC1" s="39"/>
      <c r="AD1" s="38"/>
    </row>
    <row r="2" spans="1:30" x14ac:dyDescent="0.25">
      <c r="A2" s="1" t="s">
        <v>0</v>
      </c>
      <c r="B2" s="2" t="s">
        <v>2</v>
      </c>
      <c r="C2" s="30" t="s">
        <v>73</v>
      </c>
      <c r="D2" s="29" t="s">
        <v>72</v>
      </c>
      <c r="E2" s="29" t="s">
        <v>71</v>
      </c>
      <c r="F2" s="28" t="s">
        <v>70</v>
      </c>
      <c r="H2" s="35" t="s">
        <v>69</v>
      </c>
      <c r="J2" s="35" t="s">
        <v>68</v>
      </c>
      <c r="L2" s="37" t="s">
        <v>67</v>
      </c>
      <c r="N2" s="34" t="s">
        <v>66</v>
      </c>
      <c r="O2" s="33" t="s">
        <v>65</v>
      </c>
      <c r="P2" s="33" t="s">
        <v>64</v>
      </c>
      <c r="Q2" s="33" t="s">
        <v>63</v>
      </c>
      <c r="R2" s="33" t="s">
        <v>62</v>
      </c>
      <c r="S2" s="32" t="s">
        <v>61</v>
      </c>
      <c r="U2" s="35" t="s">
        <v>60</v>
      </c>
      <c r="W2" s="34" t="s">
        <v>59</v>
      </c>
      <c r="X2" s="33" t="s">
        <v>58</v>
      </c>
      <c r="Y2" s="33" t="s">
        <v>57</v>
      </c>
      <c r="Z2" s="33" t="s">
        <v>56</v>
      </c>
      <c r="AA2" s="33" t="s">
        <v>55</v>
      </c>
      <c r="AB2" s="33" t="s">
        <v>54</v>
      </c>
      <c r="AC2" s="33" t="s">
        <v>53</v>
      </c>
      <c r="AD2" s="32" t="s">
        <v>52</v>
      </c>
    </row>
    <row r="3" spans="1:30" x14ac:dyDescent="0.25">
      <c r="A3" s="4"/>
      <c r="B3" s="6" t="s">
        <v>3</v>
      </c>
      <c r="C3" s="34" t="s">
        <v>16</v>
      </c>
      <c r="D3" s="33" t="s">
        <v>16</v>
      </c>
      <c r="E3" s="33" t="s">
        <v>16</v>
      </c>
      <c r="F3" s="32" t="s">
        <v>16</v>
      </c>
      <c r="H3" s="35"/>
      <c r="J3" s="35" t="s">
        <v>16</v>
      </c>
      <c r="L3" s="35" t="s">
        <v>16</v>
      </c>
      <c r="N3" s="34" t="s">
        <v>16</v>
      </c>
      <c r="O3" s="33" t="s">
        <v>16</v>
      </c>
      <c r="P3" s="33" t="s">
        <v>16</v>
      </c>
      <c r="Q3" s="33" t="s">
        <v>16</v>
      </c>
      <c r="R3" s="33" t="s">
        <v>16</v>
      </c>
      <c r="S3" s="32" t="s">
        <v>16</v>
      </c>
      <c r="U3" s="32" t="s">
        <v>16</v>
      </c>
      <c r="W3" s="34" t="s">
        <v>16</v>
      </c>
      <c r="X3" s="33" t="s">
        <v>16</v>
      </c>
      <c r="Y3" s="33" t="s">
        <v>16</v>
      </c>
      <c r="Z3" s="33" t="s">
        <v>16</v>
      </c>
      <c r="AA3" s="33" t="s">
        <v>16</v>
      </c>
      <c r="AB3" s="33" t="s">
        <v>16</v>
      </c>
      <c r="AC3" s="33" t="s">
        <v>16</v>
      </c>
      <c r="AD3" s="32" t="s">
        <v>16</v>
      </c>
    </row>
    <row r="4" spans="1:30" x14ac:dyDescent="0.25">
      <c r="A4" t="s">
        <v>51</v>
      </c>
      <c r="C4" s="34" t="s">
        <v>41</v>
      </c>
      <c r="D4" s="33" t="s">
        <v>41</v>
      </c>
      <c r="E4" s="33" t="s">
        <v>39</v>
      </c>
      <c r="F4" s="32" t="s">
        <v>39</v>
      </c>
      <c r="H4" s="35" t="s">
        <v>39</v>
      </c>
      <c r="J4" s="35" t="s">
        <v>41</v>
      </c>
      <c r="L4" s="35" t="s">
        <v>39</v>
      </c>
      <c r="N4" s="34" t="s">
        <v>39</v>
      </c>
      <c r="O4" s="33" t="s">
        <v>39</v>
      </c>
      <c r="P4" s="33" t="s">
        <v>39</v>
      </c>
      <c r="Q4" s="33" t="s">
        <v>39</v>
      </c>
      <c r="R4" s="33" t="s">
        <v>39</v>
      </c>
      <c r="S4" s="32" t="s">
        <v>39</v>
      </c>
      <c r="U4" s="31" t="s">
        <v>50</v>
      </c>
      <c r="W4" s="30" t="s">
        <v>39</v>
      </c>
      <c r="X4" s="36" t="s">
        <v>49</v>
      </c>
      <c r="Y4" s="29" t="s">
        <v>39</v>
      </c>
      <c r="Z4" s="29" t="s">
        <v>39</v>
      </c>
      <c r="AA4" s="29" t="s">
        <v>39</v>
      </c>
      <c r="AB4" s="36" t="s">
        <v>49</v>
      </c>
      <c r="AC4" s="29" t="s">
        <v>39</v>
      </c>
      <c r="AD4" s="28" t="s">
        <v>39</v>
      </c>
    </row>
    <row r="5" spans="1:30" x14ac:dyDescent="0.25">
      <c r="A5" t="s">
        <v>48</v>
      </c>
      <c r="C5" s="34" t="s">
        <v>41</v>
      </c>
      <c r="D5" s="33" t="s">
        <v>41</v>
      </c>
      <c r="E5" s="33" t="s">
        <v>39</v>
      </c>
      <c r="F5" s="32" t="s">
        <v>39</v>
      </c>
      <c r="H5" s="35" t="s">
        <v>39</v>
      </c>
      <c r="J5" s="35" t="s">
        <v>41</v>
      </c>
      <c r="L5" s="35" t="s">
        <v>39</v>
      </c>
      <c r="N5" s="34" t="s">
        <v>39</v>
      </c>
      <c r="O5" s="33" t="s">
        <v>39</v>
      </c>
      <c r="P5" s="33" t="s">
        <v>39</v>
      </c>
      <c r="Q5" s="33" t="s">
        <v>39</v>
      </c>
      <c r="R5" s="33" t="s">
        <v>39</v>
      </c>
      <c r="S5" s="32" t="s">
        <v>39</v>
      </c>
      <c r="U5" s="31" t="s">
        <v>47</v>
      </c>
      <c r="W5" s="30" t="s">
        <v>39</v>
      </c>
      <c r="X5" s="29" t="s">
        <v>39</v>
      </c>
      <c r="Y5" s="29" t="s">
        <v>39</v>
      </c>
      <c r="Z5" s="29" t="s">
        <v>39</v>
      </c>
      <c r="AA5" s="29" t="s">
        <v>39</v>
      </c>
      <c r="AB5" s="29" t="s">
        <v>39</v>
      </c>
      <c r="AC5" s="29" t="s">
        <v>39</v>
      </c>
      <c r="AD5" s="28" t="s">
        <v>39</v>
      </c>
    </row>
    <row r="6" spans="1:30" x14ac:dyDescent="0.25">
      <c r="A6" t="s">
        <v>46</v>
      </c>
      <c r="C6" s="34" t="s">
        <v>41</v>
      </c>
      <c r="D6" s="33" t="s">
        <v>41</v>
      </c>
      <c r="E6" s="33" t="s">
        <v>39</v>
      </c>
      <c r="F6" s="32" t="s">
        <v>39</v>
      </c>
      <c r="H6" s="35" t="s">
        <v>39</v>
      </c>
      <c r="J6" s="35" t="s">
        <v>41</v>
      </c>
      <c r="L6" s="35" t="s">
        <v>39</v>
      </c>
      <c r="N6" s="34" t="s">
        <v>39</v>
      </c>
      <c r="O6" s="33" t="s">
        <v>39</v>
      </c>
      <c r="P6" s="33" t="s">
        <v>39</v>
      </c>
      <c r="Q6" s="33" t="s">
        <v>39</v>
      </c>
      <c r="R6" s="33" t="s">
        <v>39</v>
      </c>
      <c r="S6" s="32" t="s">
        <v>39</v>
      </c>
      <c r="U6" s="31" t="s">
        <v>45</v>
      </c>
      <c r="W6" s="30" t="s">
        <v>39</v>
      </c>
      <c r="X6" s="29" t="s">
        <v>39</v>
      </c>
      <c r="Y6" s="29" t="s">
        <v>39</v>
      </c>
      <c r="Z6" s="29" t="s">
        <v>39</v>
      </c>
      <c r="AA6" s="29" t="s">
        <v>39</v>
      </c>
      <c r="AB6" s="29" t="s">
        <v>39</v>
      </c>
      <c r="AC6" s="29" t="s">
        <v>39</v>
      </c>
      <c r="AD6" s="28" t="s">
        <v>39</v>
      </c>
    </row>
    <row r="7" spans="1:30" x14ac:dyDescent="0.25">
      <c r="A7" t="s">
        <v>44</v>
      </c>
      <c r="C7" s="34" t="s">
        <v>41</v>
      </c>
      <c r="D7" s="33" t="s">
        <v>41</v>
      </c>
      <c r="E7" s="33" t="s">
        <v>39</v>
      </c>
      <c r="F7" s="32" t="s">
        <v>39</v>
      </c>
      <c r="H7" s="35" t="s">
        <v>39</v>
      </c>
      <c r="J7" s="35" t="s">
        <v>41</v>
      </c>
      <c r="L7" s="35" t="s">
        <v>39</v>
      </c>
      <c r="N7" s="34" t="s">
        <v>39</v>
      </c>
      <c r="O7" s="33" t="s">
        <v>39</v>
      </c>
      <c r="P7" s="33" t="s">
        <v>39</v>
      </c>
      <c r="Q7" s="33" t="s">
        <v>39</v>
      </c>
      <c r="R7" s="33" t="s">
        <v>39</v>
      </c>
      <c r="S7" s="32" t="s">
        <v>39</v>
      </c>
      <c r="U7" s="31" t="s">
        <v>43</v>
      </c>
      <c r="W7" s="30" t="s">
        <v>39</v>
      </c>
      <c r="X7" s="29" t="s">
        <v>39</v>
      </c>
      <c r="Y7" s="29" t="s">
        <v>39</v>
      </c>
      <c r="Z7" s="29" t="s">
        <v>39</v>
      </c>
      <c r="AA7" s="29" t="s">
        <v>39</v>
      </c>
      <c r="AB7" s="29" t="s">
        <v>39</v>
      </c>
      <c r="AC7" s="29" t="s">
        <v>39</v>
      </c>
      <c r="AD7" s="28" t="s">
        <v>39</v>
      </c>
    </row>
    <row r="8" spans="1:30" x14ac:dyDescent="0.25">
      <c r="A8" t="s">
        <v>42</v>
      </c>
      <c r="C8" s="26" t="s">
        <v>41</v>
      </c>
      <c r="D8" s="25" t="s">
        <v>41</v>
      </c>
      <c r="E8" s="25" t="s">
        <v>39</v>
      </c>
      <c r="F8" s="24" t="s">
        <v>39</v>
      </c>
      <c r="H8" s="27" t="s">
        <v>39</v>
      </c>
      <c r="J8" s="27" t="s">
        <v>41</v>
      </c>
      <c r="L8" s="27" t="s">
        <v>39</v>
      </c>
      <c r="N8" s="26" t="s">
        <v>39</v>
      </c>
      <c r="O8" s="25" t="s">
        <v>39</v>
      </c>
      <c r="P8" s="25" t="s">
        <v>39</v>
      </c>
      <c r="Q8" s="25" t="s">
        <v>39</v>
      </c>
      <c r="R8" s="25" t="s">
        <v>39</v>
      </c>
      <c r="S8" s="24" t="s">
        <v>39</v>
      </c>
      <c r="U8" s="23" t="s">
        <v>40</v>
      </c>
      <c r="W8" s="22" t="s">
        <v>39</v>
      </c>
      <c r="X8" s="21" t="s">
        <v>39</v>
      </c>
      <c r="Y8" s="21" t="s">
        <v>39</v>
      </c>
      <c r="Z8" s="21" t="s">
        <v>39</v>
      </c>
      <c r="AA8" s="21" t="s">
        <v>39</v>
      </c>
      <c r="AB8" s="21" t="s">
        <v>39</v>
      </c>
      <c r="AC8" s="21" t="s">
        <v>39</v>
      </c>
      <c r="AD8" s="20" t="s">
        <v>39</v>
      </c>
    </row>
  </sheetData>
  <mergeCells count="3">
    <mergeCell ref="C1:F1"/>
    <mergeCell ref="N1:S1"/>
    <mergeCell ref="W1:AD1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5E1A4C-EDCC-4C1E-A95E-EEC218FD783B}"/>
</file>

<file path=customXml/itemProps2.xml><?xml version="1.0" encoding="utf-8"?>
<ds:datastoreItem xmlns:ds="http://schemas.openxmlformats.org/officeDocument/2006/customXml" ds:itemID="{4335300A-0F1B-49B5-8F57-E650C47BAD74}"/>
</file>

<file path=customXml/itemProps3.xml><?xml version="1.0" encoding="utf-8"?>
<ds:datastoreItem xmlns:ds="http://schemas.openxmlformats.org/officeDocument/2006/customXml" ds:itemID="{99F0537E-FEA6-4A36-A3FB-F1D8EB91C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2018-06-26T04:11:05Z</cp:lastPrinted>
  <dcterms:created xsi:type="dcterms:W3CDTF">2018-06-26T03:34:11Z</dcterms:created>
  <dcterms:modified xsi:type="dcterms:W3CDTF">2018-06-26T04:11:06Z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
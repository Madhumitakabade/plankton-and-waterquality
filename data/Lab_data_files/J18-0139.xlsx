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10335"/>
  </bookViews>
  <sheets>
    <sheet name="Lims1 Results 16" sheetId="1" r:id="rId1"/>
    <sheet name="Pestici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<sst xmlns="http://schemas.openxmlformats.org/spreadsheetml/2006/main" count="239" uniqueCount="85">
  <si>
    <t>Reference</t>
  </si>
  <si>
    <t>Units</t>
  </si>
  <si>
    <t>Sample</t>
  </si>
  <si>
    <t>Date</t>
  </si>
  <si>
    <t>No.</t>
  </si>
  <si>
    <t>Bottle ID for Sample Bottle</t>
  </si>
  <si>
    <t>Salinity</t>
  </si>
  <si>
    <t>PSU</t>
  </si>
  <si>
    <t>Electrical Conductivity</t>
  </si>
  <si>
    <t>µS/cm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</si>
  <si>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</si>
  <si>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</si>
  <si>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</si>
  <si>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</si>
  <si>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</si>
  <si>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</si>
  <si>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</si>
  <si>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</si>
  <si>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</si>
  <si>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Silver UT</t>
  </si>
  <si>
    <t>Cadmium UT</t>
  </si>
  <si>
    <t>Copper UT</t>
  </si>
  <si>
    <t>Lead UT</t>
  </si>
  <si>
    <t>Nickel UT</t>
  </si>
  <si>
    <t>Arsenic UT</t>
  </si>
  <si>
    <t>Zinc UT</t>
  </si>
  <si>
    <t>J18-0139</t>
  </si>
  <si>
    <t/>
  </si>
  <si>
    <t>AP_AMB1</t>
  </si>
  <si>
    <t>&lt;0.2</t>
  </si>
  <si>
    <t>&lt;0.1</t>
  </si>
  <si>
    <t>&lt;1</t>
  </si>
  <si>
    <t>&lt;0.5</t>
  </si>
  <si>
    <t>&lt;5</t>
  </si>
  <si>
    <t>AP_AMB2</t>
  </si>
  <si>
    <t>AP_AMB3</t>
  </si>
  <si>
    <t>AP_AMB4</t>
  </si>
  <si>
    <t>AP_AMB5</t>
  </si>
  <si>
    <t>PN</t>
  </si>
  <si>
    <t>PP</t>
  </si>
  <si>
    <t>EP234A: OP Pesticides</t>
  </si>
  <si>
    <t>Chlorpyrifos</t>
  </si>
  <si>
    <t>&lt;0.001</t>
  </si>
  <si>
    <t>Malathion</t>
  </si>
  <si>
    <t>Diazinon</t>
  </si>
  <si>
    <t>0.0004</t>
  </si>
  <si>
    <t>0.0005</t>
  </si>
  <si>
    <t>&lt;0.0002</t>
  </si>
  <si>
    <t>0.0007</t>
  </si>
  <si>
    <t>Pirimiphos-methyl</t>
  </si>
  <si>
    <t>EP234B: Thiocarbamates and Carbamates</t>
  </si>
  <si>
    <t>Thiobencarb</t>
  </si>
  <si>
    <t>EP234C: Dinitroanilines</t>
  </si>
  <si>
    <t>Pendimethalin</t>
  </si>
  <si>
    <t>EP234D: Triazinone Herbicides</t>
  </si>
  <si>
    <t>Hexazinone</t>
  </si>
  <si>
    <t>0.0015</t>
  </si>
  <si>
    <t>0.0013</t>
  </si>
  <si>
    <t>0.0017</t>
  </si>
  <si>
    <t>EP234E: Conazole and Aminopyrimidine Fungicides</t>
  </si>
  <si>
    <t>Propiconazole</t>
  </si>
  <si>
    <t>Hexaconazole</t>
  </si>
  <si>
    <t>Difenoconazole</t>
  </si>
  <si>
    <t>Tebuconazole</t>
  </si>
  <si>
    <t>Flusilazole</t>
  </si>
  <si>
    <t>Penconazole</t>
  </si>
  <si>
    <t>EP234F: Phenylurea, Thizdiazolurea, Uracil and Sulfonylurea Herbicides</t>
  </si>
  <si>
    <t>Diuron</t>
  </si>
  <si>
    <t>0.0038</t>
  </si>
  <si>
    <t>0.0060</t>
  </si>
  <si>
    <t>0.0047</t>
  </si>
  <si>
    <t>0.0148</t>
  </si>
  <si>
    <t>0.0036</t>
  </si>
  <si>
    <t>EP234H: Triazine Herbicides</t>
  </si>
  <si>
    <t>Ametryn</t>
  </si>
  <si>
    <t>Atrazine</t>
  </si>
  <si>
    <t>0.0009</t>
  </si>
  <si>
    <t>0.0002</t>
  </si>
  <si>
    <t>Cyanazine</t>
  </si>
  <si>
    <t>Prometryn</t>
  </si>
  <si>
    <t>Propazine</t>
  </si>
  <si>
    <t>Simazine</t>
  </si>
  <si>
    <t>Terbuthylazine</t>
  </si>
  <si>
    <t>Terbutryn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</si>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</sst>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80000"/>
      <name val="Tahoma"/>
      <family val="2"/>
    </font>
    <font>
      <b/>
      <i/>
      <sz val="10"/>
      <name val="Arial"/>
      <family val="2"/>
    </font>
    <font>
      <b/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49" fontId="18" fillId="0" borderId="16" xfId="0" applyNumberFormat="1" applyFont="1" applyBorder="1" applyAlignment="1">
      <alignment horizontal="center"/>
    </xf>
    <xf numFmtId="49" fontId="18" fillId="0" borderId="11" xfId="0" applyNumberFormat="1" applyFont="1" applyBorder="1" applyAlignment="1">
      <alignment horizontal="center"/>
    </xf>
    <xf numFmtId="49" fontId="18" fillId="0" borderId="13" xfId="0" applyNumberFormat="1" applyFont="1" applyBorder="1" applyAlignment="1">
      <alignment horizontal="center"/>
    </xf>
    <xf numFmtId="49" fontId="18" fillId="0" borderId="17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49" fontId="18" fillId="0" borderId="14" xfId="0" applyNumberFormat="1" applyFont="1" applyBorder="1" applyAlignment="1">
      <alignment horizontal="center"/>
    </xf>
    <xf numFmtId="49" fontId="18" fillId="0" borderId="0" xfId="0" applyNumberFormat="1" applyFont="1" applyAlignment="1"/>
    <xf numFmtId="0" fontId="18" fillId="0" borderId="0" xfId="0" applyFont="1" applyAlignment="1"/>
    <xf numFmtId="0" fontId="18" fillId="0" borderId="0" xfId="0" applyNumberFormat="1" applyFont="1" applyAlignment="1"/>
    <xf numFmtId="49" fontId="18" fillId="33" borderId="0" xfId="0" applyNumberFormat="1" applyFont="1" applyFill="1" applyAlignment="1"/>
    <xf numFmtId="0" fontId="18" fillId="33" borderId="0" xfId="0" applyNumberFormat="1" applyFont="1" applyFill="1" applyAlignment="1"/>
    <xf numFmtId="164" fontId="18" fillId="33" borderId="0" xfId="0" applyNumberFormat="1" applyFont="1" applyFill="1" applyAlignment="1"/>
    <xf numFmtId="0" fontId="18" fillId="33" borderId="0" xfId="0" applyFont="1" applyFill="1" applyAlignment="1"/>
    <xf numFmtId="14" fontId="18" fillId="0" borderId="0" xfId="0" applyNumberFormat="1" applyFont="1" applyAlignment="1"/>
    <xf numFmtId="0" fontId="18" fillId="0" borderId="0" xfId="0" applyNumberFormat="1" applyFont="1" applyAlignment="1">
      <alignment horizontal="center"/>
    </xf>
    <xf numFmtId="0" fontId="18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8" fillId="34" borderId="11" xfId="0" applyNumberFormat="1" applyFont="1" applyFill="1" applyBorder="1" applyAlignment="1">
      <alignment horizontal="center"/>
    </xf>
    <xf numFmtId="49" fontId="18" fillId="34" borderId="0" xfId="0" applyNumberFormat="1" applyFont="1" applyFill="1" applyBorder="1" applyAlignment="1">
      <alignment horizontal="center"/>
    </xf>
    <xf numFmtId="0" fontId="18" fillId="34" borderId="0" xfId="0" applyNumberFormat="1" applyFont="1" applyFill="1" applyAlignment="1">
      <alignment horizontal="center"/>
    </xf>
    <xf numFmtId="0" fontId="19" fillId="35" borderId="20" xfId="0" applyNumberFormat="1" applyFont="1" applyFill="1" applyBorder="1" applyAlignment="1" applyProtection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19" fillId="35" borderId="10" xfId="0" applyNumberFormat="1" applyFont="1" applyFill="1" applyBorder="1" applyAlignment="1" applyProtection="1">
      <alignment horizontal="center"/>
    </xf>
    <xf numFmtId="0" fontId="20" fillId="0" borderId="0" xfId="0" applyNumberFormat="1" applyFont="1" applyFill="1" applyBorder="1" applyAlignment="1" applyProtection="1">
      <alignment horizontal="center"/>
    </xf>
    <xf numFmtId="0" fontId="0" fillId="0" borderId="23" xfId="0" applyBorder="1" applyAlignment="1">
      <alignment horizontal="center"/>
    </xf>
    <xf numFmtId="0" fontId="19" fillId="35" borderId="19" xfId="0" applyNumberFormat="1" applyFont="1" applyFill="1" applyBorder="1" applyAlignment="1" applyProtection="1">
      <alignment horizontal="center"/>
    </xf>
    <xf numFmtId="0" fontId="0" fillId="0" borderId="22" xfId="0" applyBorder="1" applyAlignment="1">
      <alignment horizontal="center"/>
    </xf>
    <xf numFmtId="0" fontId="19" fillId="35" borderId="21" xfId="0" applyNumberFormat="1" applyFont="1" applyFill="1" applyBorder="1" applyAlignment="1" applyProtection="1">
      <alignment horizontal="center"/>
    </xf>
    <xf numFmtId="0" fontId="0" fillId="0" borderId="18" xfId="0" applyBorder="1" applyAlignment="1">
      <alignment horizontal="center"/>
    </xf>
    <xf numFmtId="0" fontId="20" fillId="0" borderId="22" xfId="0" applyNumberFormat="1" applyFont="1" applyFill="1" applyBorder="1" applyAlignment="1" applyProtection="1"/>
    <xf numFmtId="0" fontId="0" fillId="0" borderId="24" xfId="0" applyBorder="1" applyAlignment="1">
      <alignment horizontal="center"/>
    </xf>
    <xf numFmtId="0" fontId="20" fillId="0" borderId="18" xfId="0" applyNumberFormat="1" applyFont="1" applyFill="1" applyBorder="1" applyAlignment="1" applyProtection="1">
      <alignment horizontal="center"/>
    </xf>
    <xf numFmtId="0" fontId="20" fillId="0" borderId="26" xfId="0" applyNumberFormat="1" applyFont="1" applyFill="1" applyBorder="1" applyAlignment="1" applyProtection="1">
      <alignment horizontal="center"/>
    </xf>
    <xf numFmtId="0" fontId="0" fillId="0" borderId="22" xfId="0" applyBorder="1" applyAlignment="1"/>
    <xf numFmtId="0" fontId="20" fillId="0" borderId="22" xfId="0" applyNumberFormat="1" applyFont="1" applyFill="1" applyBorder="1" applyAlignment="1" applyProtection="1">
      <alignment horizontal="center"/>
    </xf>
    <xf numFmtId="0" fontId="19" fillId="35" borderId="19" xfId="0" applyNumberFormat="1" applyFont="1" applyFill="1" applyBorder="1" applyAlignment="1" applyProtection="1"/>
    <xf numFmtId="0" fontId="0" fillId="0" borderId="26" xfId="0" applyBorder="1" applyAlignment="1">
      <alignment horizontal="center"/>
    </xf>
    <xf numFmtId="0" fontId="20" fillId="0" borderId="26" xfId="0" applyNumberFormat="1" applyFont="1" applyFill="1" applyBorder="1" applyAlignment="1" applyProtection="1"/>
    <xf numFmtId="0" fontId="0" fillId="0" borderId="25" xfId="0" applyBorder="1" applyAlignment="1">
      <alignment horizontal="center"/>
    </xf>
    <xf numFmtId="0" fontId="0" fillId="0" borderId="0" xfId="0"/>
    <xf numFmtId="0" fontId="19" fillId="35" borderId="20" xfId="0" applyNumberFormat="1" applyFont="1" applyFill="1" applyBorder="1" applyAlignment="1" applyProtection="1">
      <alignment horizontal="center"/>
    </xf>
    <xf numFmtId="0" fontId="19" fillId="35" borderId="10" xfId="0" applyNumberFormat="1" applyFont="1" applyFill="1" applyBorder="1" applyAlignment="1" applyProtection="1">
      <alignment horizontal="center"/>
    </xf>
    <xf numFmtId="0" fontId="19" fillId="35" borderId="21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9"/>
  <sheetViews>
    <sheetView tabSelected="1" workbookViewId="0">
      <selection activeCell="E4" sqref="E4:E8"/>
    </sheetView>
  </sheetViews>
  <sheetFormatPr defaultRowHeight="15" x14ac:dyDescent="0.25"/>
  <cols>
    <col min="2" max="2" width="9.28515625" bestFit="1" customWidth="1"/>
    <col min="3" max="3" width="21.42578125" bestFit="1" customWidth="1"/>
    <col min="4" max="4" width="23" style="18" bestFit="1" customWidth="1"/>
    <col min="5" max="5" width="8" style="18" customWidth="1"/>
    <col min="6" max="6" width="18.85546875" style="18" bestFit="1" customWidth="1"/>
    <col min="7" max="7" width="6.85546875" style="18" bestFit="1" customWidth="1"/>
    <col min="8" max="8" width="12.5703125" style="18" bestFit="1" customWidth="1"/>
    <col min="9" max="9" width="21" style="18" bestFit="1" customWidth="1"/>
    <col min="10" max="10" width="9.28515625" style="18" customWidth="1"/>
    <col min="11" max="11" width="15.28515625" style="18" bestFit="1" customWidth="1"/>
    <col min="12" max="12" width="23.7109375" style="18" bestFit="1" customWidth="1"/>
    <col min="13" max="13" width="9.28515625" customWidth="1"/>
    <col min="14" max="14" width="11.7109375" style="18" bestFit="1" customWidth="1"/>
    <col min="15" max="15" width="12.42578125" style="18" bestFit="1" customWidth="1"/>
    <col min="16" max="16" width="6.5703125" customWidth="1"/>
    <col min="18" max="18" width="11.5703125" bestFit="1" customWidth="1"/>
    <col min="22" max="23" width="9.28515625" bestFit="1" customWidth="1"/>
  </cols>
  <sheetData>
    <row r="1" spans="1:23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84</v>
      </c>
      <c r="F1" s="2" t="s">
        <v>8</v>
      </c>
      <c r="G1" s="2" t="s">
        <v>6</v>
      </c>
      <c r="H1" s="2" t="s">
        <v>12</v>
      </c>
      <c r="I1" s="2" t="s">
        <v>10</v>
      </c>
      <c r="J1" s="19" t="s">
        <v>38</v>
      </c>
      <c r="K1" s="2" t="s">
        <v>15</v>
      </c>
      <c r="L1" s="2" t="s">
        <v>13</v>
      </c>
      <c r="M1" s="19" t="s">
        <v>39</v>
      </c>
      <c r="N1" s="2" t="s">
        <v>16</v>
      </c>
      <c r="O1" s="2" t="s">
        <v>18</v>
      </c>
      <c r="P1" s="2"/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3" t="s">
        <v>25</v>
      </c>
    </row>
    <row r="2" spans="1:23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20"/>
      <c r="K2" s="6"/>
      <c r="L2" s="6"/>
      <c r="M2" s="20"/>
      <c r="N2" s="6"/>
      <c r="O2" s="6"/>
      <c r="P2" s="6"/>
      <c r="Q2" s="6"/>
      <c r="R2" s="6"/>
      <c r="S2" s="6"/>
      <c r="T2" s="6"/>
      <c r="U2" s="6"/>
      <c r="V2" s="6"/>
      <c r="W2" s="7"/>
    </row>
    <row r="3" spans="1:23" x14ac:dyDescent="0.25">
      <c r="A3" s="4" t="s">
        <v>1</v>
      </c>
      <c r="B3" s="5"/>
      <c r="C3" s="5"/>
      <c r="D3" s="6"/>
      <c r="E3" s="6"/>
      <c r="F3" s="6" t="s">
        <v>9</v>
      </c>
      <c r="G3" s="6" t="s">
        <v>7</v>
      </c>
      <c r="H3" s="6" t="s">
        <v>11</v>
      </c>
      <c r="I3" s="6" t="s">
        <v>11</v>
      </c>
      <c r="J3" s="20" t="s">
        <v>11</v>
      </c>
      <c r="K3" s="6" t="s">
        <v>14</v>
      </c>
      <c r="L3" s="6" t="s">
        <v>14</v>
      </c>
      <c r="M3" s="20" t="s">
        <v>14</v>
      </c>
      <c r="N3" s="6" t="s">
        <v>17</v>
      </c>
      <c r="O3" s="6" t="s">
        <v>17</v>
      </c>
      <c r="P3" s="6"/>
      <c r="Q3" s="6" t="s">
        <v>17</v>
      </c>
      <c r="R3" s="6" t="s">
        <v>17</v>
      </c>
      <c r="S3" s="6" t="s">
        <v>17</v>
      </c>
      <c r="T3" s="6" t="s">
        <v>17</v>
      </c>
      <c r="U3" s="6" t="s">
        <v>17</v>
      </c>
      <c r="V3" s="6" t="s">
        <v>17</v>
      </c>
      <c r="W3" s="7"/>
    </row>
    <row r="4" spans="1:23" x14ac:dyDescent="0.25">
      <c r="A4" s="8" t="s">
        <v>26</v>
      </c>
      <c r="B4" s="9">
        <v>1</v>
      </c>
      <c r="C4" s="15">
        <v>43223</v>
      </c>
      <c r="D4" s="16" t="s">
        <v>28</v>
      </c>
      <c r="E4" s="16">
        <v>8.14</v>
      </c>
      <c r="F4" s="16">
        <v>52770</v>
      </c>
      <c r="G4" s="16">
        <v>34.799999999999997</v>
      </c>
      <c r="H4" s="16">
        <v>102</v>
      </c>
      <c r="I4" s="16">
        <v>100</v>
      </c>
      <c r="J4" s="21">
        <f>+H4-I4</f>
        <v>2</v>
      </c>
      <c r="K4" s="16">
        <v>8</v>
      </c>
      <c r="L4" s="16">
        <v>6</v>
      </c>
      <c r="M4" s="21">
        <f>+K4-L4</f>
        <v>2</v>
      </c>
      <c r="N4" s="16">
        <v>0.33</v>
      </c>
      <c r="O4" s="16" t="s">
        <v>29</v>
      </c>
      <c r="P4" s="10"/>
      <c r="Q4" s="16" t="s">
        <v>30</v>
      </c>
      <c r="R4" s="16" t="s">
        <v>29</v>
      </c>
      <c r="S4" s="16" t="s">
        <v>31</v>
      </c>
      <c r="T4" s="16" t="s">
        <v>29</v>
      </c>
      <c r="U4" s="16" t="s">
        <v>32</v>
      </c>
      <c r="V4" s="16">
        <v>1.6</v>
      </c>
      <c r="W4" s="16" t="s">
        <v>33</v>
      </c>
    </row>
    <row r="5" spans="1:23" x14ac:dyDescent="0.25">
      <c r="A5" s="8" t="s">
        <v>26</v>
      </c>
      <c r="B5" s="9">
        <v>2</v>
      </c>
      <c r="C5" s="15">
        <v>43223</v>
      </c>
      <c r="D5" s="16" t="s">
        <v>34</v>
      </c>
      <c r="E5" s="16">
        <v>8.1</v>
      </c>
      <c r="F5" s="16">
        <v>51690</v>
      </c>
      <c r="G5" s="16">
        <v>34</v>
      </c>
      <c r="H5" s="16">
        <v>92</v>
      </c>
      <c r="I5" s="16">
        <v>90</v>
      </c>
      <c r="J5" s="21">
        <f t="shared" ref="J5:J8" si="0">+H5-I5</f>
        <v>2</v>
      </c>
      <c r="K5" s="16">
        <v>8</v>
      </c>
      <c r="L5" s="16">
        <v>6</v>
      </c>
      <c r="M5" s="21">
        <f t="shared" ref="M5:M8" si="1">+K5-L5</f>
        <v>2</v>
      </c>
      <c r="N5" s="16">
        <v>0.46</v>
      </c>
      <c r="O5" s="16" t="s">
        <v>29</v>
      </c>
      <c r="P5" s="10"/>
      <c r="Q5" s="16" t="s">
        <v>30</v>
      </c>
      <c r="R5" s="16" t="s">
        <v>29</v>
      </c>
      <c r="S5" s="16" t="s">
        <v>31</v>
      </c>
      <c r="T5" s="16" t="s">
        <v>29</v>
      </c>
      <c r="U5" s="16" t="s">
        <v>32</v>
      </c>
      <c r="V5" s="16">
        <v>1.7</v>
      </c>
      <c r="W5" s="16" t="s">
        <v>33</v>
      </c>
    </row>
    <row r="6" spans="1:23" x14ac:dyDescent="0.25">
      <c r="A6" s="8" t="s">
        <v>26</v>
      </c>
      <c r="B6" s="9">
        <v>3</v>
      </c>
      <c r="C6" s="15">
        <v>43223</v>
      </c>
      <c r="D6" s="16" t="s">
        <v>35</v>
      </c>
      <c r="E6" s="16">
        <v>8.16</v>
      </c>
      <c r="F6" s="16">
        <v>52190</v>
      </c>
      <c r="G6" s="16">
        <v>34.4</v>
      </c>
      <c r="H6" s="16">
        <v>101</v>
      </c>
      <c r="I6" s="16">
        <v>100</v>
      </c>
      <c r="J6" s="21">
        <f t="shared" si="0"/>
        <v>1</v>
      </c>
      <c r="K6" s="16">
        <v>7</v>
      </c>
      <c r="L6" s="16">
        <v>6</v>
      </c>
      <c r="M6" s="21">
        <f t="shared" si="1"/>
        <v>1</v>
      </c>
      <c r="N6" s="16">
        <v>1.07</v>
      </c>
      <c r="O6" s="16">
        <v>0.23</v>
      </c>
      <c r="P6" s="10"/>
      <c r="Q6" s="16" t="s">
        <v>30</v>
      </c>
      <c r="R6" s="16" t="s">
        <v>29</v>
      </c>
      <c r="S6" s="16" t="s">
        <v>31</v>
      </c>
      <c r="T6" s="16" t="s">
        <v>29</v>
      </c>
      <c r="U6" s="16" t="s">
        <v>32</v>
      </c>
      <c r="V6" s="16">
        <v>1.7</v>
      </c>
      <c r="W6" s="16" t="s">
        <v>33</v>
      </c>
    </row>
    <row r="7" spans="1:23" x14ac:dyDescent="0.25">
      <c r="A7" s="8" t="s">
        <v>26</v>
      </c>
      <c r="B7" s="9">
        <v>4</v>
      </c>
      <c r="C7" s="15">
        <v>43223</v>
      </c>
      <c r="D7" s="16" t="s">
        <v>36</v>
      </c>
      <c r="E7" s="16">
        <v>8.1999999999999993</v>
      </c>
      <c r="F7" s="16">
        <v>52580</v>
      </c>
      <c r="G7" s="16">
        <v>34.6</v>
      </c>
      <c r="H7" s="16">
        <v>105</v>
      </c>
      <c r="I7" s="16">
        <v>94</v>
      </c>
      <c r="J7" s="21">
        <f t="shared" si="0"/>
        <v>11</v>
      </c>
      <c r="K7" s="16">
        <v>8</v>
      </c>
      <c r="L7" s="16">
        <v>6</v>
      </c>
      <c r="M7" s="21">
        <f t="shared" si="1"/>
        <v>2</v>
      </c>
      <c r="N7" s="16">
        <v>0.68</v>
      </c>
      <c r="O7" s="16" t="s">
        <v>29</v>
      </c>
      <c r="P7" s="10"/>
      <c r="Q7" s="16" t="s">
        <v>30</v>
      </c>
      <c r="R7" s="16" t="s">
        <v>29</v>
      </c>
      <c r="S7" s="16" t="s">
        <v>31</v>
      </c>
      <c r="T7" s="16" t="s">
        <v>29</v>
      </c>
      <c r="U7" s="16" t="s">
        <v>32</v>
      </c>
      <c r="V7" s="16">
        <v>1.5</v>
      </c>
      <c r="W7" s="16" t="s">
        <v>33</v>
      </c>
    </row>
    <row r="8" spans="1:23" x14ac:dyDescent="0.25">
      <c r="A8" s="8" t="s">
        <v>26</v>
      </c>
      <c r="B8" s="9">
        <v>5</v>
      </c>
      <c r="C8" s="15">
        <v>43223</v>
      </c>
      <c r="D8" s="16" t="s">
        <v>37</v>
      </c>
      <c r="E8" s="16">
        <v>8.18</v>
      </c>
      <c r="F8" s="16">
        <v>52230</v>
      </c>
      <c r="G8" s="16">
        <v>34.4</v>
      </c>
      <c r="H8" s="16">
        <v>98</v>
      </c>
      <c r="I8" s="16">
        <v>96</v>
      </c>
      <c r="J8" s="21">
        <f t="shared" si="0"/>
        <v>2</v>
      </c>
      <c r="K8" s="16">
        <v>8</v>
      </c>
      <c r="L8" s="16">
        <v>7</v>
      </c>
      <c r="M8" s="21">
        <f t="shared" si="1"/>
        <v>1</v>
      </c>
      <c r="N8" s="16">
        <v>0.42</v>
      </c>
      <c r="O8" s="16" t="s">
        <v>29</v>
      </c>
      <c r="P8" s="10"/>
      <c r="Q8" s="16" t="s">
        <v>30</v>
      </c>
      <c r="R8" s="16" t="s">
        <v>29</v>
      </c>
      <c r="S8" s="16" t="s">
        <v>31</v>
      </c>
      <c r="T8" s="16" t="s">
        <v>29</v>
      </c>
      <c r="U8" s="16" t="s">
        <v>32</v>
      </c>
      <c r="V8" s="16">
        <v>1.7</v>
      </c>
      <c r="W8" s="16">
        <v>6</v>
      </c>
    </row>
    <row r="9" spans="1:23" x14ac:dyDescent="0.25">
      <c r="A9" s="11" t="s">
        <v>27</v>
      </c>
      <c r="B9" s="14"/>
      <c r="C9" s="13"/>
      <c r="D9" s="17"/>
      <c r="E9" s="17"/>
      <c r="F9" s="17"/>
      <c r="G9" s="17"/>
      <c r="H9" s="17"/>
      <c r="I9" s="17"/>
      <c r="J9" s="17"/>
      <c r="K9" s="17"/>
      <c r="L9" s="17"/>
      <c r="M9" s="12"/>
      <c r="N9" s="17"/>
      <c r="O9" s="17"/>
      <c r="P9" s="12"/>
      <c r="Q9" s="12"/>
      <c r="R9" s="12"/>
      <c r="S9" s="12"/>
      <c r="T9" s="12"/>
      <c r="U9" s="12"/>
      <c r="V9" s="12"/>
      <c r="W9" s="12"/>
    </row>
  </sheetData>
  <pageMargins left="0.7" right="0.7" top="0.75" bottom="0.75" header="0.3" footer="0.3"/>
  <pageSetup scale="4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"/>
  <sheetViews>
    <sheetView workbookViewId="0">
      <selection activeCell="G14" sqref="G14"/>
    </sheetView>
  </sheetViews>
  <sheetFormatPr defaultRowHeight="15" x14ac:dyDescent="0.25"/>
  <cols>
    <col min="5" max="5" width="21.85546875" style="18" bestFit="1" customWidth="1"/>
    <col min="6" max="6" width="10" style="18" bestFit="1" customWidth="1"/>
    <col min="7" max="7" width="9.140625" style="18"/>
    <col min="8" max="8" width="17.85546875" style="18" bestFit="1" customWidth="1"/>
    <col min="9" max="9" width="4.140625" customWidth="1"/>
    <col min="10" max="10" width="39.140625" style="18" bestFit="1" customWidth="1"/>
    <col min="11" max="11" width="3.42578125" customWidth="1"/>
    <col min="12" max="12" width="47.140625" style="18" bestFit="1" customWidth="1"/>
    <col min="13" max="13" width="4.7109375" customWidth="1"/>
    <col min="14" max="14" width="29.28515625" style="18" bestFit="1" customWidth="1"/>
    <col min="16" max="16" width="49.28515625" style="18" bestFit="1" customWidth="1"/>
    <col min="17" max="17" width="13.42578125" style="18" bestFit="1" customWidth="1"/>
    <col min="18" max="18" width="21.28515625" style="18" customWidth="1"/>
    <col min="19" max="19" width="13.42578125" style="18" bestFit="1" customWidth="1"/>
    <col min="20" max="20" width="25.85546875" style="18" bestFit="1" customWidth="1"/>
    <col min="21" max="21" width="12.28515625" style="18" bestFit="1" customWidth="1"/>
    <col min="23" max="23" width="9.42578125" customWidth="1"/>
    <col min="24" max="24" width="67.28515625" customWidth="1"/>
    <col min="26" max="26" width="27" style="18" bestFit="1" customWidth="1"/>
    <col min="32" max="32" width="14.42578125" bestFit="1" customWidth="1"/>
    <col min="33" max="33" width="9.7109375" bestFit="1" customWidth="1"/>
  </cols>
  <sheetData>
    <row r="1" spans="1:33" s="43" customFormat="1" x14ac:dyDescent="0.25">
      <c r="E1" s="18"/>
      <c r="F1" s="18"/>
      <c r="G1" s="18"/>
      <c r="H1" s="18"/>
      <c r="J1" s="18"/>
      <c r="L1" s="18"/>
      <c r="N1" s="18"/>
      <c r="P1" s="18"/>
      <c r="Q1" s="18"/>
      <c r="R1" s="18"/>
      <c r="S1" s="18"/>
      <c r="T1" s="18"/>
      <c r="U1" s="18"/>
    </row>
    <row r="2" spans="1:33" s="43" customFormat="1" x14ac:dyDescent="0.25">
      <c r="A2" s="1" t="s">
        <v>0</v>
      </c>
      <c r="B2" s="2" t="s">
        <v>2</v>
      </c>
      <c r="E2" s="44" t="s">
        <v>40</v>
      </c>
      <c r="F2" s="45"/>
      <c r="G2" s="45"/>
      <c r="H2" s="46"/>
      <c r="J2" s="29" t="s">
        <v>50</v>
      </c>
      <c r="L2" s="29" t="s">
        <v>52</v>
      </c>
      <c r="N2" s="29" t="s">
        <v>54</v>
      </c>
      <c r="P2" s="22" t="s">
        <v>59</v>
      </c>
      <c r="Q2" s="26"/>
      <c r="R2" s="26"/>
      <c r="S2" s="26"/>
      <c r="T2" s="26"/>
      <c r="U2" s="31"/>
      <c r="X2" s="39" t="s">
        <v>66</v>
      </c>
      <c r="Z2" s="44" t="s">
        <v>73</v>
      </c>
      <c r="AA2" s="45"/>
      <c r="AB2" s="45"/>
      <c r="AC2" s="45"/>
      <c r="AD2" s="45"/>
      <c r="AE2" s="45"/>
      <c r="AF2" s="45"/>
      <c r="AG2" s="46"/>
    </row>
    <row r="3" spans="1:33" x14ac:dyDescent="0.25">
      <c r="A3" s="4"/>
      <c r="B3" s="6" t="s">
        <v>4</v>
      </c>
      <c r="C3" s="6" t="s">
        <v>3</v>
      </c>
      <c r="D3" s="6"/>
      <c r="E3" s="25" t="s">
        <v>41</v>
      </c>
      <c r="F3" s="24" t="s">
        <v>43</v>
      </c>
      <c r="G3" s="24" t="s">
        <v>44</v>
      </c>
      <c r="H3" s="23" t="s">
        <v>49</v>
      </c>
      <c r="I3" s="43"/>
      <c r="J3" s="30" t="s">
        <v>51</v>
      </c>
      <c r="K3" s="43"/>
      <c r="L3" s="30" t="s">
        <v>53</v>
      </c>
      <c r="M3" s="43"/>
      <c r="N3" s="28" t="s">
        <v>55</v>
      </c>
      <c r="O3" s="43"/>
      <c r="P3" s="25" t="s">
        <v>60</v>
      </c>
      <c r="Q3" s="24" t="s">
        <v>61</v>
      </c>
      <c r="R3" s="24" t="s">
        <v>62</v>
      </c>
      <c r="S3" s="24" t="s">
        <v>63</v>
      </c>
      <c r="T3" s="24" t="s">
        <v>64</v>
      </c>
      <c r="U3" s="23" t="s">
        <v>65</v>
      </c>
      <c r="V3" s="43"/>
      <c r="W3" s="43"/>
      <c r="X3" s="37" t="s">
        <v>67</v>
      </c>
      <c r="Y3" s="43"/>
      <c r="Z3" s="25" t="s">
        <v>74</v>
      </c>
      <c r="AA3" s="24" t="s">
        <v>75</v>
      </c>
      <c r="AB3" s="24" t="s">
        <v>78</v>
      </c>
      <c r="AC3" s="24" t="s">
        <v>79</v>
      </c>
      <c r="AD3" s="24" t="s">
        <v>80</v>
      </c>
      <c r="AE3" s="24" t="s">
        <v>81</v>
      </c>
      <c r="AF3" s="24" t="s">
        <v>82</v>
      </c>
      <c r="AG3" s="23" t="s">
        <v>83</v>
      </c>
    </row>
    <row r="4" spans="1:33" x14ac:dyDescent="0.25">
      <c r="A4" s="4" t="s">
        <v>1</v>
      </c>
      <c r="B4" s="5"/>
      <c r="C4" s="5"/>
      <c r="D4" s="6"/>
      <c r="E4" s="25"/>
      <c r="F4" s="24"/>
      <c r="G4" s="24"/>
      <c r="H4" s="23"/>
      <c r="J4" s="30"/>
      <c r="K4" s="43"/>
      <c r="L4" s="30"/>
      <c r="N4" s="30"/>
      <c r="O4" s="43"/>
      <c r="P4" s="25"/>
      <c r="Q4" s="24"/>
      <c r="R4" s="24"/>
      <c r="S4" s="24"/>
      <c r="T4" s="24"/>
      <c r="U4" s="23"/>
      <c r="V4" s="43"/>
      <c r="X4" s="37"/>
      <c r="Y4" s="43"/>
      <c r="Z4" s="25"/>
      <c r="AA4" s="24"/>
      <c r="AB4" s="24"/>
      <c r="AC4" s="24"/>
      <c r="AD4" s="24"/>
      <c r="AE4" s="24"/>
      <c r="AF4" s="24"/>
      <c r="AG4" s="23"/>
    </row>
    <row r="5" spans="1:33" x14ac:dyDescent="0.25">
      <c r="A5" s="8" t="s">
        <v>26</v>
      </c>
      <c r="B5" s="9">
        <v>1</v>
      </c>
      <c r="C5" s="15">
        <v>43223</v>
      </c>
      <c r="D5" s="16" t="s">
        <v>28</v>
      </c>
      <c r="E5" s="25" t="s">
        <v>42</v>
      </c>
      <c r="F5" s="24" t="s">
        <v>42</v>
      </c>
      <c r="G5" s="27" t="s">
        <v>45</v>
      </c>
      <c r="H5" s="23" t="s">
        <v>47</v>
      </c>
      <c r="I5" s="43"/>
      <c r="J5" s="30" t="s">
        <v>47</v>
      </c>
      <c r="K5" s="43"/>
      <c r="L5" s="30" t="s">
        <v>42</v>
      </c>
      <c r="N5" s="38" t="s">
        <v>56</v>
      </c>
      <c r="O5" s="43"/>
      <c r="P5" s="25" t="s">
        <v>47</v>
      </c>
      <c r="Q5" s="24" t="s">
        <v>47</v>
      </c>
      <c r="R5" s="24" t="s">
        <v>47</v>
      </c>
      <c r="S5" s="24" t="s">
        <v>47</v>
      </c>
      <c r="T5" s="24" t="s">
        <v>47</v>
      </c>
      <c r="U5" s="23" t="s">
        <v>47</v>
      </c>
      <c r="V5" s="43"/>
      <c r="W5" s="43"/>
      <c r="X5" s="33" t="s">
        <v>68</v>
      </c>
      <c r="Y5" s="43"/>
      <c r="Z5" s="25" t="s">
        <v>47</v>
      </c>
      <c r="AA5" s="27" t="s">
        <v>45</v>
      </c>
      <c r="AB5" s="24" t="s">
        <v>47</v>
      </c>
      <c r="AC5" s="24" t="s">
        <v>47</v>
      </c>
      <c r="AD5" s="24" t="s">
        <v>47</v>
      </c>
      <c r="AE5" s="27" t="s">
        <v>77</v>
      </c>
      <c r="AF5" s="24" t="s">
        <v>47</v>
      </c>
      <c r="AG5" s="23" t="s">
        <v>47</v>
      </c>
    </row>
    <row r="6" spans="1:33" x14ac:dyDescent="0.25">
      <c r="A6" s="8" t="s">
        <v>26</v>
      </c>
      <c r="B6" s="9">
        <v>2</v>
      </c>
      <c r="C6" s="15">
        <v>43223</v>
      </c>
      <c r="D6" s="16" t="s">
        <v>34</v>
      </c>
      <c r="E6" s="25" t="s">
        <v>42</v>
      </c>
      <c r="F6" s="24" t="s">
        <v>42</v>
      </c>
      <c r="G6" s="27" t="s">
        <v>46</v>
      </c>
      <c r="H6" s="23" t="s">
        <v>47</v>
      </c>
      <c r="I6" s="43"/>
      <c r="J6" s="30" t="s">
        <v>47</v>
      </c>
      <c r="K6" s="43"/>
      <c r="L6" s="30" t="s">
        <v>42</v>
      </c>
      <c r="N6" s="38" t="s">
        <v>57</v>
      </c>
      <c r="O6" s="43"/>
      <c r="P6" s="25" t="s">
        <v>47</v>
      </c>
      <c r="Q6" s="24" t="s">
        <v>47</v>
      </c>
      <c r="R6" s="24" t="s">
        <v>47</v>
      </c>
      <c r="S6" s="24" t="s">
        <v>47</v>
      </c>
      <c r="T6" s="24" t="s">
        <v>47</v>
      </c>
      <c r="U6" s="23" t="s">
        <v>47</v>
      </c>
      <c r="V6" s="43"/>
      <c r="W6" s="43"/>
      <c r="X6" s="33" t="s">
        <v>69</v>
      </c>
      <c r="Y6" s="43"/>
      <c r="Z6" s="25" t="s">
        <v>47</v>
      </c>
      <c r="AA6" s="27" t="s">
        <v>45</v>
      </c>
      <c r="AB6" s="24" t="s">
        <v>47</v>
      </c>
      <c r="AC6" s="24" t="s">
        <v>47</v>
      </c>
      <c r="AD6" s="24" t="s">
        <v>47</v>
      </c>
      <c r="AE6" s="27" t="s">
        <v>77</v>
      </c>
      <c r="AF6" s="24" t="s">
        <v>47</v>
      </c>
      <c r="AG6" s="23" t="s">
        <v>47</v>
      </c>
    </row>
    <row r="7" spans="1:33" x14ac:dyDescent="0.25">
      <c r="A7" s="8" t="s">
        <v>26</v>
      </c>
      <c r="B7" s="9">
        <v>3</v>
      </c>
      <c r="C7" s="15">
        <v>43223</v>
      </c>
      <c r="D7" s="16" t="s">
        <v>35</v>
      </c>
      <c r="E7" s="25" t="s">
        <v>42</v>
      </c>
      <c r="F7" s="24" t="s">
        <v>42</v>
      </c>
      <c r="G7" s="24" t="s">
        <v>47</v>
      </c>
      <c r="H7" s="23" t="s">
        <v>47</v>
      </c>
      <c r="I7" s="43"/>
      <c r="J7" s="30" t="s">
        <v>47</v>
      </c>
      <c r="K7" s="43"/>
      <c r="L7" s="30" t="s">
        <v>42</v>
      </c>
      <c r="N7" s="38" t="s">
        <v>58</v>
      </c>
      <c r="O7" s="43"/>
      <c r="P7" s="25" t="s">
        <v>47</v>
      </c>
      <c r="Q7" s="24" t="s">
        <v>47</v>
      </c>
      <c r="R7" s="24" t="s">
        <v>47</v>
      </c>
      <c r="S7" s="24" t="s">
        <v>47</v>
      </c>
      <c r="T7" s="24" t="s">
        <v>47</v>
      </c>
      <c r="U7" s="23" t="s">
        <v>47</v>
      </c>
      <c r="V7" s="43"/>
      <c r="W7" s="43"/>
      <c r="X7" s="33" t="s">
        <v>70</v>
      </c>
      <c r="Y7" s="43"/>
      <c r="Z7" s="25" t="s">
        <v>47</v>
      </c>
      <c r="AA7" s="27" t="s">
        <v>46</v>
      </c>
      <c r="AB7" s="24" t="s">
        <v>47</v>
      </c>
      <c r="AC7" s="24" t="s">
        <v>47</v>
      </c>
      <c r="AD7" s="24" t="s">
        <v>47</v>
      </c>
      <c r="AE7" s="27" t="s">
        <v>77</v>
      </c>
      <c r="AF7" s="24" t="s">
        <v>47</v>
      </c>
      <c r="AG7" s="23" t="s">
        <v>47</v>
      </c>
    </row>
    <row r="8" spans="1:33" x14ac:dyDescent="0.25">
      <c r="A8" s="8" t="s">
        <v>26</v>
      </c>
      <c r="B8" s="9">
        <v>4</v>
      </c>
      <c r="C8" s="15">
        <v>43223</v>
      </c>
      <c r="D8" s="16" t="s">
        <v>36</v>
      </c>
      <c r="E8" s="25" t="s">
        <v>42</v>
      </c>
      <c r="F8" s="24" t="s">
        <v>42</v>
      </c>
      <c r="G8" s="27" t="s">
        <v>48</v>
      </c>
      <c r="H8" s="23" t="s">
        <v>47</v>
      </c>
      <c r="I8" s="43"/>
      <c r="J8" s="30" t="s">
        <v>47</v>
      </c>
      <c r="K8" s="43"/>
      <c r="L8" s="30" t="s">
        <v>42</v>
      </c>
      <c r="N8" s="38" t="s">
        <v>58</v>
      </c>
      <c r="O8" s="43"/>
      <c r="P8" s="25" t="s">
        <v>47</v>
      </c>
      <c r="Q8" s="24" t="s">
        <v>47</v>
      </c>
      <c r="R8" s="24" t="s">
        <v>47</v>
      </c>
      <c r="S8" s="24" t="s">
        <v>47</v>
      </c>
      <c r="T8" s="24" t="s">
        <v>47</v>
      </c>
      <c r="U8" s="23" t="s">
        <v>47</v>
      </c>
      <c r="V8" s="43"/>
      <c r="W8" s="43"/>
      <c r="X8" s="33" t="s">
        <v>71</v>
      </c>
      <c r="Y8" s="43"/>
      <c r="Z8" s="25" t="s">
        <v>47</v>
      </c>
      <c r="AA8" s="27" t="s">
        <v>76</v>
      </c>
      <c r="AB8" s="24" t="s">
        <v>47</v>
      </c>
      <c r="AC8" s="24" t="s">
        <v>47</v>
      </c>
      <c r="AD8" s="24" t="s">
        <v>47</v>
      </c>
      <c r="AE8" s="27" t="s">
        <v>58</v>
      </c>
      <c r="AF8" s="24" t="s">
        <v>47</v>
      </c>
      <c r="AG8" s="23" t="s">
        <v>47</v>
      </c>
    </row>
    <row r="9" spans="1:33" x14ac:dyDescent="0.25">
      <c r="A9" s="8" t="s">
        <v>26</v>
      </c>
      <c r="B9" s="9">
        <v>5</v>
      </c>
      <c r="C9" s="15">
        <v>43223</v>
      </c>
      <c r="D9" s="16" t="s">
        <v>37</v>
      </c>
      <c r="E9" s="34" t="s">
        <v>42</v>
      </c>
      <c r="F9" s="32" t="s">
        <v>42</v>
      </c>
      <c r="G9" s="32" t="s">
        <v>47</v>
      </c>
      <c r="H9" s="42" t="s">
        <v>47</v>
      </c>
      <c r="I9" s="43"/>
      <c r="J9" s="40" t="s">
        <v>47</v>
      </c>
      <c r="K9" s="43"/>
      <c r="L9" s="40" t="s">
        <v>42</v>
      </c>
      <c r="N9" s="36" t="s">
        <v>57</v>
      </c>
      <c r="O9" s="43"/>
      <c r="P9" s="34" t="s">
        <v>47</v>
      </c>
      <c r="Q9" s="32" t="s">
        <v>47</v>
      </c>
      <c r="R9" s="32" t="s">
        <v>47</v>
      </c>
      <c r="S9" s="32" t="s">
        <v>47</v>
      </c>
      <c r="T9" s="32" t="s">
        <v>47</v>
      </c>
      <c r="U9" s="42" t="s">
        <v>47</v>
      </c>
      <c r="V9" s="43"/>
      <c r="W9" s="43"/>
      <c r="X9" s="41" t="s">
        <v>72</v>
      </c>
      <c r="Y9" s="43"/>
      <c r="Z9" s="34" t="s">
        <v>47</v>
      </c>
      <c r="AA9" s="35" t="s">
        <v>77</v>
      </c>
      <c r="AB9" s="32" t="s">
        <v>47</v>
      </c>
      <c r="AC9" s="32" t="s">
        <v>47</v>
      </c>
      <c r="AD9" s="32" t="s">
        <v>47</v>
      </c>
      <c r="AE9" s="35" t="s">
        <v>77</v>
      </c>
      <c r="AF9" s="32" t="s">
        <v>47</v>
      </c>
      <c r="AG9" s="42" t="s">
        <v>47</v>
      </c>
    </row>
  </sheetData>
  <mergeCells count="2">
    <mergeCell ref="Z2:AG2"/>
    <mergeCell ref="E2:H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E74E6-B7A7-4139-9478-B99E35CF8F91}"/>
</file>

<file path=customXml/itemProps2.xml><?xml version="1.0" encoding="utf-8"?>
<ds:datastoreItem xmlns:ds="http://schemas.openxmlformats.org/officeDocument/2006/customXml" ds:itemID="{A0FBF11D-70A4-49F6-9395-26790CE7411E}"/>
</file>

<file path=customXml/itemProps3.xml><?xml version="1.0" encoding="utf-8"?>
<ds:datastoreItem xmlns:ds="http://schemas.openxmlformats.org/officeDocument/2006/customXml" ds:itemID="{C3D1B629-04A7-4AE6-AE10-6679CBE520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Lims1 Results 16</vt:lpstr>
      <vt:lpstr>Pesticides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2018-06-26T05:05:32Z</cp:lastPrinted>
  <dcterms:created xsi:type="dcterms:W3CDTF">2018-06-26T04:45:25Z</dcterms:created>
  <dcterms:modified xsi:type="dcterms:W3CDTF">2018-06-26T06:32:51Z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
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8\Nathan\NQBP\"/>
    </mc:Choice>
  </mc:AlternateContent>
  <bookViews>
    <workbookView xWindow="0" yWindow="0" windowWidth="9015" windowHeight="7935"/>
  </bookViews>
  <sheets>
    <sheet name="Lims1 Results 16" sheetId="1" r:id="rId1"/>
    <sheet name="Pestici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4" i="1"/>
  <c r="J5" i="1"/>
  <c r="J6" i="1"/>
  <c r="J7" i="1"/>
  <c r="J8" i="1"/>
  <c r="J4" i="1"/>
</calcChain>
</file>

<file path=xl/sharedStrings.xml><?xml version="1.0" encoding="utf-8"?>
<sst xmlns="http://schemas.openxmlformats.org/spreadsheetml/2006/main" count="268" uniqueCount="81">
  <si>
    <t>Reference</t>
  </si>
  <si>
    <t>Units</t>
  </si>
  <si>
    <t>Sample</t>
  </si>
  <si>
    <t>Date</t>
  </si>
  <si>
    <t>No.</t>
  </si>
  <si>
    <t>Bottle ID for Sample Bottle</t>
  </si>
  <si>
    <t>Salinity</t>
  </si>
  <si>
    <t>PSU</t>
  </si>
  <si>
    <t>Chlorophyll-a</t>
  </si>
  <si>
    <t>µg/L</t>
  </si>
  <si>
    <t>Phaeophytin a</t>
  </si>
  <si>
    <t>Electrical Conductivity</t>
  </si>
  <si>
    <t>µS/cm</t>
  </si>
  <si>
    <t>pH</t>
  </si>
  <si>
    <t>Silver UT</t>
  </si>
  <si>
    <t>Cadmium UT</t>
  </si>
  <si>
    <t>Copper UT</t>
  </si>
  <si>
    <t>Lead UT</t>
  </si>
  <si>
    <t>Nickel UT</t>
  </si>
  <si>
    <t>Arsenic UT</t>
  </si>
  <si>
    <t>Zinc UT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</si>
  <si>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</si>
  <si>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</si>
  <si>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</si>
  <si>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</si>
  <si>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</si>
  <si>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</si>
  <si>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J18-0261</t>
  </si>
  <si>
    <t>AP_AMB1</t>
  </si>
  <si>
    <t>&lt;0.2</t>
  </si>
  <si>
    <t>&lt;0.1</t>
  </si>
  <si>
    <t>&lt;0.5</t>
  </si>
  <si>
    <t>&lt;5</t>
  </si>
  <si>
    <t>AP_AMB2</t>
  </si>
  <si>
    <t>&lt;1</t>
  </si>
  <si>
    <t>AP_AMB3</t>
  </si>
  <si>
    <t>AP_AMB4</t>
  </si>
  <si>
    <t>AP_AMB5</t>
  </si>
  <si>
    <t/>
  </si>
  <si>
    <t>PN</t>
  </si>
  <si>
    <t>PP</t>
  </si>
  <si>
    <t>EP234A: OP Pesticides</t>
  </si>
  <si>
    <t>EP234B: Thiocarbamates and Carbamates</t>
  </si>
  <si>
    <t>EP234C: Dinitroanilines</t>
  </si>
  <si>
    <t>EP234D: Triazinone Herbicides</t>
  </si>
  <si>
    <t>EP234E: Conazole and Aminopyrimidine Fungicides</t>
  </si>
  <si>
    <t>EP234F: Phenylurea, Thizdiazolurea, Uracil and Sulfonylurea Herbicides</t>
  </si>
  <si>
    <t>EP234H: Triazine Herbicides</t>
  </si>
  <si>
    <t>Chlorpyrifos</t>
  </si>
  <si>
    <t>Malathion</t>
  </si>
  <si>
    <t>Diazinon</t>
  </si>
  <si>
    <t>Pirimiphos-methyl</t>
  </si>
  <si>
    <t>Thiobencarb</t>
  </si>
  <si>
    <t>Pendimethalin</t>
  </si>
  <si>
    <t>Hexazinone</t>
  </si>
  <si>
    <t>Propiconazole</t>
  </si>
  <si>
    <t>Hexaconazole</t>
  </si>
  <si>
    <t>Difenoconazole</t>
  </si>
  <si>
    <t>Tebuconazole</t>
  </si>
  <si>
    <t>Flusilazole</t>
  </si>
  <si>
    <t>Penconazole</t>
  </si>
  <si>
    <t>Diuron</t>
  </si>
  <si>
    <t>Ametryn</t>
  </si>
  <si>
    <t>Atrazine</t>
  </si>
  <si>
    <t>Cyanazine</t>
  </si>
  <si>
    <t>Prometryn</t>
  </si>
  <si>
    <t>Propazine</t>
  </si>
  <si>
    <t>Simazine</t>
  </si>
  <si>
    <t>Terbuthylazine</t>
  </si>
  <si>
    <t>Terbutryn</t>
  </si>
  <si>
    <t>&lt;0.001</t>
  </si>
  <si>
    <t>&lt;0.0002</t>
  </si>
  <si>
    <t>0.0023</t>
  </si>
  <si>
    <t>0.0039</t>
  </si>
  <si>
    <t>0.0010</t>
  </si>
  <si>
    <t>0.0188</t>
  </si>
  <si>
    <t>0.0014</t>
  </si>
  <si>
    <t>Mercury</t>
  </si>
  <si>
    <t>Dissolved</t>
  </si>
  <si>
    <t>mg/L</t>
  </si>
  <si>
    <t>&lt;0.0001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</si>
</sst>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4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4" xfId="0" applyNumberFormat="1" applyFont="1" applyFill="1" applyBorder="1" applyAlignment="1" applyProtection="1">
      <alignment horizontal="center"/>
    </xf>
    <xf numFmtId="0" fontId="2" fillId="0" borderId="15" xfId="0" applyNumberFormat="1" applyFont="1" applyFill="1" applyBorder="1" applyAlignment="1" applyProtection="1">
      <alignment horizontal="center"/>
    </xf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horizontal="center"/>
    </xf>
    <xf numFmtId="49" fontId="1" fillId="0" borderId="4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3" fillId="0" borderId="16" xfId="0" applyNumberFormat="1" applyFont="1" applyFill="1" applyBorder="1" applyAlignment="1" applyProtection="1">
      <alignment horizontal="center"/>
    </xf>
    <xf numFmtId="0" fontId="3" fillId="0" borderId="6" xfId="0" applyNumberFormat="1" applyFont="1" applyFill="1" applyBorder="1" applyAlignment="1" applyProtection="1">
      <alignment horizontal="center"/>
    </xf>
    <xf numFmtId="0" fontId="3" fillId="0" borderId="7" xfId="0" applyNumberFormat="1" applyFont="1" applyFill="1" applyBorder="1" applyAlignment="1" applyProtection="1">
      <alignment horizontal="center"/>
    </xf>
    <xf numFmtId="0" fontId="3" fillId="0" borderId="8" xfId="0" applyNumberFormat="1" applyFont="1" applyFill="1" applyBorder="1" applyAlignment="1" applyProtection="1">
      <alignment horizontal="center"/>
    </xf>
    <xf numFmtId="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5"/>
  <sheetViews>
    <sheetView tabSelected="1" topLeftCell="J1" workbookViewId="0">
      <selection activeCell="U3" sqref="U3:V3"/>
    </sheetView>
  </sheetViews>
  <sheetFormatPr defaultRowHeight="15" x14ac:dyDescent="0.25"/>
  <cols>
    <col min="1" max="1" width="9.140625" style="16"/>
    <col min="2" max="2" width="9.28515625" style="16" bestFit="1" customWidth="1"/>
    <col min="3" max="3" width="22.5703125" style="16" bestFit="1" customWidth="1"/>
    <col min="4" max="4" width="23" style="16" bestFit="1" customWidth="1"/>
    <col min="5" max="5" width="18.85546875" style="16" bestFit="1" customWidth="1"/>
    <col min="6" max="7" width="9.28515625" style="16" bestFit="1" customWidth="1"/>
    <col min="8" max="8" width="12.5703125" style="16" bestFit="1" customWidth="1"/>
    <col min="9" max="9" width="21" style="16" bestFit="1" customWidth="1"/>
    <col min="10" max="10" width="21" style="16" customWidth="1"/>
    <col min="11" max="11" width="15.28515625" style="16" bestFit="1" customWidth="1"/>
    <col min="12" max="12" width="23.7109375" style="16" bestFit="1" customWidth="1"/>
    <col min="13" max="13" width="23.7109375" style="16" customWidth="1"/>
    <col min="14" max="14" width="11.7109375" style="16" bestFit="1" customWidth="1"/>
    <col min="15" max="15" width="12.42578125" style="16" bestFit="1" customWidth="1"/>
    <col min="16" max="16" width="9.140625" style="16"/>
    <col min="17" max="17" width="11.5703125" style="16" bestFit="1" customWidth="1"/>
    <col min="18" max="18" width="9.28515625" style="16" bestFit="1" customWidth="1"/>
    <col min="19" max="19" width="9.140625" style="16"/>
    <col min="20" max="21" width="9.28515625" style="16" bestFit="1" customWidth="1"/>
    <col min="22" max="22" width="9.140625" style="16"/>
  </cols>
  <sheetData>
    <row r="1" spans="1:23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11</v>
      </c>
      <c r="F1" s="2" t="s">
        <v>6</v>
      </c>
      <c r="G1" s="2" t="s">
        <v>13</v>
      </c>
      <c r="H1" s="2" t="s">
        <v>23</v>
      </c>
      <c r="I1" s="2" t="s">
        <v>21</v>
      </c>
      <c r="J1" s="24" t="s">
        <v>39</v>
      </c>
      <c r="K1" s="3" t="s">
        <v>26</v>
      </c>
      <c r="L1" s="2" t="s">
        <v>24</v>
      </c>
      <c r="M1" s="24" t="s">
        <v>40</v>
      </c>
      <c r="N1" s="2" t="s">
        <v>8</v>
      </c>
      <c r="O1" s="2" t="s">
        <v>10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77</v>
      </c>
    </row>
    <row r="2" spans="1:23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25"/>
      <c r="K2" s="7"/>
      <c r="L2" s="6"/>
      <c r="M2" s="25"/>
      <c r="N2" s="6"/>
      <c r="O2" s="6"/>
      <c r="P2" s="6"/>
      <c r="Q2" s="6"/>
      <c r="R2" s="6"/>
      <c r="S2" s="6"/>
      <c r="T2" s="6"/>
      <c r="U2" s="6"/>
      <c r="V2" s="6"/>
      <c r="W2" s="20" t="s">
        <v>78</v>
      </c>
    </row>
    <row r="3" spans="1:23" x14ac:dyDescent="0.25">
      <c r="A3" s="4" t="s">
        <v>1</v>
      </c>
      <c r="B3" s="5"/>
      <c r="C3" s="5"/>
      <c r="D3" s="6"/>
      <c r="E3" s="6" t="s">
        <v>12</v>
      </c>
      <c r="F3" s="6" t="s">
        <v>7</v>
      </c>
      <c r="G3" s="6"/>
      <c r="H3" s="6" t="s">
        <v>22</v>
      </c>
      <c r="I3" s="6" t="s">
        <v>22</v>
      </c>
      <c r="J3" s="25" t="s">
        <v>22</v>
      </c>
      <c r="K3" s="7" t="s">
        <v>25</v>
      </c>
      <c r="L3" s="6" t="s">
        <v>25</v>
      </c>
      <c r="M3" s="25" t="s">
        <v>25</v>
      </c>
      <c r="N3" s="6" t="s">
        <v>9</v>
      </c>
      <c r="O3" s="6" t="s">
        <v>9</v>
      </c>
      <c r="P3" s="6" t="s">
        <v>9</v>
      </c>
      <c r="Q3" s="6" t="s">
        <v>9</v>
      </c>
      <c r="R3" s="6" t="s">
        <v>9</v>
      </c>
      <c r="S3" s="6" t="s">
        <v>9</v>
      </c>
      <c r="T3" s="6" t="s">
        <v>9</v>
      </c>
      <c r="U3" s="6" t="s">
        <v>9</v>
      </c>
      <c r="V3" s="20" t="s">
        <v>9</v>
      </c>
      <c r="W3" s="20" t="s">
        <v>79</v>
      </c>
    </row>
    <row r="4" spans="1:23" x14ac:dyDescent="0.25">
      <c r="A4" s="8" t="s">
        <v>27</v>
      </c>
      <c r="B4" s="9">
        <v>1</v>
      </c>
      <c r="C4" s="10">
        <v>43329</v>
      </c>
      <c r="D4" s="11" t="s">
        <v>28</v>
      </c>
      <c r="E4" s="11">
        <v>53650</v>
      </c>
      <c r="F4" s="11">
        <v>35.4</v>
      </c>
      <c r="G4" s="11">
        <v>8.16</v>
      </c>
      <c r="H4" s="11">
        <v>97</v>
      </c>
      <c r="I4" s="11">
        <v>96</v>
      </c>
      <c r="J4" s="26">
        <f>+H4-I4</f>
        <v>1</v>
      </c>
      <c r="K4" s="11">
        <v>10</v>
      </c>
      <c r="L4" s="11">
        <v>10</v>
      </c>
      <c r="M4" s="26">
        <f>+K4-L4</f>
        <v>0</v>
      </c>
      <c r="N4" s="11">
        <v>0.52</v>
      </c>
      <c r="O4" s="11" t="s">
        <v>29</v>
      </c>
      <c r="P4" s="11" t="s">
        <v>30</v>
      </c>
      <c r="Q4" s="11" t="s">
        <v>29</v>
      </c>
      <c r="R4" s="11">
        <v>4</v>
      </c>
      <c r="S4" s="11" t="s">
        <v>29</v>
      </c>
      <c r="T4" s="11" t="s">
        <v>31</v>
      </c>
      <c r="U4" s="11">
        <v>1</v>
      </c>
      <c r="V4" s="11" t="s">
        <v>32</v>
      </c>
      <c r="W4" s="51" t="s">
        <v>80</v>
      </c>
    </row>
    <row r="5" spans="1:23" x14ac:dyDescent="0.25">
      <c r="A5" s="8" t="s">
        <v>27</v>
      </c>
      <c r="B5" s="9">
        <v>2</v>
      </c>
      <c r="C5" s="10">
        <v>43329</v>
      </c>
      <c r="D5" s="11" t="s">
        <v>33</v>
      </c>
      <c r="E5" s="11">
        <v>53620</v>
      </c>
      <c r="F5" s="11">
        <v>35.4</v>
      </c>
      <c r="G5" s="11">
        <v>8.18</v>
      </c>
      <c r="H5" s="11">
        <v>87</v>
      </c>
      <c r="I5" s="11">
        <v>82</v>
      </c>
      <c r="J5" s="26">
        <f t="shared" ref="J5:J8" si="0">+H5-I5</f>
        <v>5</v>
      </c>
      <c r="K5" s="11">
        <v>10</v>
      </c>
      <c r="L5" s="11">
        <v>9</v>
      </c>
      <c r="M5" s="26">
        <f t="shared" ref="M5:M8" si="1">+K5-L5</f>
        <v>1</v>
      </c>
      <c r="N5" s="11">
        <v>0.23</v>
      </c>
      <c r="O5" s="11" t="s">
        <v>29</v>
      </c>
      <c r="P5" s="11" t="s">
        <v>30</v>
      </c>
      <c r="Q5" s="11" t="s">
        <v>29</v>
      </c>
      <c r="R5" s="11" t="s">
        <v>34</v>
      </c>
      <c r="S5" s="11" t="s">
        <v>29</v>
      </c>
      <c r="T5" s="11">
        <v>0.6</v>
      </c>
      <c r="U5" s="11">
        <v>1.9</v>
      </c>
      <c r="V5" s="11" t="s">
        <v>32</v>
      </c>
      <c r="W5" s="51" t="s">
        <v>80</v>
      </c>
    </row>
    <row r="6" spans="1:23" x14ac:dyDescent="0.25">
      <c r="A6" s="8" t="s">
        <v>27</v>
      </c>
      <c r="B6" s="9">
        <v>3</v>
      </c>
      <c r="C6" s="10">
        <v>43329</v>
      </c>
      <c r="D6" s="11" t="s">
        <v>35</v>
      </c>
      <c r="E6" s="11">
        <v>53870</v>
      </c>
      <c r="F6" s="11">
        <v>35.6</v>
      </c>
      <c r="G6" s="11">
        <v>8.1999999999999993</v>
      </c>
      <c r="H6" s="11">
        <v>87</v>
      </c>
      <c r="I6" s="11">
        <v>83</v>
      </c>
      <c r="J6" s="26">
        <f t="shared" si="0"/>
        <v>4</v>
      </c>
      <c r="K6" s="11">
        <v>8</v>
      </c>
      <c r="L6" s="11">
        <v>5</v>
      </c>
      <c r="M6" s="26">
        <f t="shared" si="1"/>
        <v>3</v>
      </c>
      <c r="N6" s="11">
        <v>0.42</v>
      </c>
      <c r="O6" s="11">
        <v>0.31</v>
      </c>
      <c r="P6" s="11" t="s">
        <v>30</v>
      </c>
      <c r="Q6" s="11" t="s">
        <v>29</v>
      </c>
      <c r="R6" s="11" t="s">
        <v>34</v>
      </c>
      <c r="S6" s="11" t="s">
        <v>29</v>
      </c>
      <c r="T6" s="11">
        <v>0.7</v>
      </c>
      <c r="U6" s="11">
        <v>1.5</v>
      </c>
      <c r="V6" s="11" t="s">
        <v>32</v>
      </c>
      <c r="W6" s="51" t="s">
        <v>80</v>
      </c>
    </row>
    <row r="7" spans="1:23" x14ac:dyDescent="0.25">
      <c r="A7" s="8" t="s">
        <v>27</v>
      </c>
      <c r="B7" s="9">
        <v>4</v>
      </c>
      <c r="C7" s="10">
        <v>43329</v>
      </c>
      <c r="D7" s="11" t="s">
        <v>36</v>
      </c>
      <c r="E7" s="11">
        <v>53470</v>
      </c>
      <c r="F7" s="11">
        <v>35.299999999999997</v>
      </c>
      <c r="G7" s="11">
        <v>8.2100000000000009</v>
      </c>
      <c r="H7" s="11">
        <v>109</v>
      </c>
      <c r="I7" s="11">
        <v>88</v>
      </c>
      <c r="J7" s="26">
        <f t="shared" si="0"/>
        <v>21</v>
      </c>
      <c r="K7" s="11">
        <v>8</v>
      </c>
      <c r="L7" s="11">
        <v>6</v>
      </c>
      <c r="M7" s="26">
        <f t="shared" si="1"/>
        <v>2</v>
      </c>
      <c r="N7" s="11">
        <v>0.23</v>
      </c>
      <c r="O7" s="11" t="s">
        <v>29</v>
      </c>
      <c r="P7" s="11" t="s">
        <v>30</v>
      </c>
      <c r="Q7" s="11" t="s">
        <v>29</v>
      </c>
      <c r="R7" s="11">
        <v>1</v>
      </c>
      <c r="S7" s="11" t="s">
        <v>29</v>
      </c>
      <c r="T7" s="11" t="s">
        <v>31</v>
      </c>
      <c r="U7" s="11">
        <v>1.9</v>
      </c>
      <c r="V7" s="11" t="s">
        <v>32</v>
      </c>
      <c r="W7" s="51" t="s">
        <v>80</v>
      </c>
    </row>
    <row r="8" spans="1:23" x14ac:dyDescent="0.25">
      <c r="A8" s="8" t="s">
        <v>27</v>
      </c>
      <c r="B8" s="9">
        <v>5</v>
      </c>
      <c r="C8" s="10">
        <v>43330</v>
      </c>
      <c r="D8" s="11" t="s">
        <v>37</v>
      </c>
      <c r="E8" s="11">
        <v>53190</v>
      </c>
      <c r="F8" s="11">
        <v>35.1</v>
      </c>
      <c r="G8" s="11">
        <v>8.2200000000000006</v>
      </c>
      <c r="H8" s="11">
        <v>91</v>
      </c>
      <c r="I8" s="11">
        <v>87</v>
      </c>
      <c r="J8" s="26">
        <f t="shared" si="0"/>
        <v>4</v>
      </c>
      <c r="K8" s="11">
        <v>8</v>
      </c>
      <c r="L8" s="11">
        <v>7</v>
      </c>
      <c r="M8" s="26">
        <f t="shared" si="1"/>
        <v>1</v>
      </c>
      <c r="N8" s="11" t="s">
        <v>29</v>
      </c>
      <c r="O8" s="11" t="s">
        <v>29</v>
      </c>
      <c r="P8" s="11" t="s">
        <v>30</v>
      </c>
      <c r="Q8" s="11" t="s">
        <v>29</v>
      </c>
      <c r="R8" s="11">
        <v>2</v>
      </c>
      <c r="S8" s="11" t="s">
        <v>29</v>
      </c>
      <c r="T8" s="11">
        <v>0.6</v>
      </c>
      <c r="U8" s="11">
        <v>1.7</v>
      </c>
      <c r="V8" s="11" t="s">
        <v>32</v>
      </c>
      <c r="W8" s="51" t="s">
        <v>80</v>
      </c>
    </row>
    <row r="9" spans="1:23" x14ac:dyDescent="0.25">
      <c r="A9" s="12" t="s">
        <v>38</v>
      </c>
      <c r="B9" s="13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x14ac:dyDescent="0.25">
      <c r="W10" s="51"/>
    </row>
    <row r="11" spans="1:23" x14ac:dyDescent="0.25">
      <c r="W11" s="51"/>
    </row>
    <row r="12" spans="1:23" x14ac:dyDescent="0.25">
      <c r="W12" s="51"/>
    </row>
    <row r="13" spans="1:23" x14ac:dyDescent="0.25">
      <c r="W13" s="51"/>
    </row>
    <row r="14" spans="1:23" x14ac:dyDescent="0.25">
      <c r="W14" s="51"/>
    </row>
    <row r="15" spans="1:23" x14ac:dyDescent="0.25">
      <c r="W15" s="51"/>
    </row>
  </sheetData>
  <pageMargins left="0.7" right="0.7" top="0.75" bottom="0.75" header="0.3" footer="0.3"/>
  <pageSetup scale="3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8"/>
  <sheetViews>
    <sheetView workbookViewId="0">
      <selection activeCell="D23" sqref="D23"/>
    </sheetView>
  </sheetViews>
  <sheetFormatPr defaultRowHeight="15" x14ac:dyDescent="0.25"/>
  <cols>
    <col min="3" max="3" width="10.42578125" bestFit="1" customWidth="1"/>
    <col min="4" max="4" width="23" bestFit="1" customWidth="1"/>
    <col min="9" max="9" width="17.85546875" bestFit="1" customWidth="1"/>
    <col min="12" max="12" width="39.140625" bestFit="1" customWidth="1"/>
    <col min="15" max="15" width="22.7109375" bestFit="1" customWidth="1"/>
    <col min="18" max="18" width="29.28515625" bestFit="1" customWidth="1"/>
    <col min="26" max="26" width="12.28515625" bestFit="1" customWidth="1"/>
    <col min="29" max="29" width="67.28515625" style="22" bestFit="1" customWidth="1"/>
    <col min="35" max="35" width="10.42578125" bestFit="1" customWidth="1"/>
    <col min="37" max="37" width="9" bestFit="1" customWidth="1"/>
    <col min="38" max="38" width="14.42578125" bestFit="1" customWidth="1"/>
    <col min="39" max="39" width="9.7109375" bestFit="1" customWidth="1"/>
  </cols>
  <sheetData>
    <row r="1" spans="1:39" s="46" customFormat="1" x14ac:dyDescent="0.25">
      <c r="A1" s="44" t="s">
        <v>0</v>
      </c>
      <c r="B1" s="45" t="s">
        <v>2</v>
      </c>
      <c r="C1" s="45" t="s">
        <v>2</v>
      </c>
      <c r="D1" s="45" t="s">
        <v>5</v>
      </c>
      <c r="F1" s="48" t="s">
        <v>41</v>
      </c>
      <c r="G1" s="49"/>
      <c r="H1" s="49"/>
      <c r="I1" s="50"/>
      <c r="L1" s="47" t="s">
        <v>42</v>
      </c>
      <c r="O1" s="47" t="s">
        <v>43</v>
      </c>
      <c r="R1" s="47" t="s">
        <v>44</v>
      </c>
      <c r="U1" s="48" t="s">
        <v>45</v>
      </c>
      <c r="V1" s="49"/>
      <c r="W1" s="49"/>
      <c r="X1" s="49"/>
      <c r="Y1" s="49"/>
      <c r="Z1" s="50"/>
      <c r="AC1" s="47" t="s">
        <v>46</v>
      </c>
      <c r="AF1" s="48" t="s">
        <v>47</v>
      </c>
      <c r="AG1" s="49"/>
      <c r="AH1" s="49"/>
      <c r="AI1" s="49"/>
      <c r="AJ1" s="49"/>
      <c r="AK1" s="49"/>
      <c r="AL1" s="49"/>
      <c r="AM1" s="50"/>
    </row>
    <row r="2" spans="1:39" x14ac:dyDescent="0.25">
      <c r="A2" s="18"/>
      <c r="B2" s="20" t="s">
        <v>4</v>
      </c>
      <c r="C2" s="20" t="s">
        <v>3</v>
      </c>
      <c r="D2" s="20"/>
      <c r="F2" s="37" t="s">
        <v>48</v>
      </c>
      <c r="G2" s="38" t="s">
        <v>49</v>
      </c>
      <c r="H2" s="38" t="s">
        <v>50</v>
      </c>
      <c r="I2" s="39" t="s">
        <v>51</v>
      </c>
      <c r="J2" s="17"/>
      <c r="K2" s="17"/>
      <c r="L2" s="33" t="s">
        <v>52</v>
      </c>
      <c r="M2" s="17"/>
      <c r="N2" s="17"/>
      <c r="O2" s="33" t="s">
        <v>53</v>
      </c>
      <c r="P2" s="17"/>
      <c r="Q2" s="17"/>
      <c r="R2" s="33" t="s">
        <v>54</v>
      </c>
      <c r="S2" s="17"/>
      <c r="T2" s="17"/>
      <c r="U2" s="27" t="s">
        <v>55</v>
      </c>
      <c r="V2" s="28" t="s">
        <v>56</v>
      </c>
      <c r="W2" s="28" t="s">
        <v>57</v>
      </c>
      <c r="X2" s="28" t="s">
        <v>58</v>
      </c>
      <c r="Y2" s="28" t="s">
        <v>59</v>
      </c>
      <c r="Z2" s="29" t="s">
        <v>60</v>
      </c>
      <c r="AA2" s="17"/>
      <c r="AB2" s="17"/>
      <c r="AC2" s="33" t="s">
        <v>61</v>
      </c>
      <c r="AD2" s="17"/>
      <c r="AE2" s="17"/>
      <c r="AF2" s="27" t="s">
        <v>62</v>
      </c>
      <c r="AG2" s="28" t="s">
        <v>63</v>
      </c>
      <c r="AH2" s="28" t="s">
        <v>64</v>
      </c>
      <c r="AI2" s="28" t="s">
        <v>65</v>
      </c>
      <c r="AJ2" s="28" t="s">
        <v>66</v>
      </c>
      <c r="AK2" s="28" t="s">
        <v>67</v>
      </c>
      <c r="AL2" s="28" t="s">
        <v>68</v>
      </c>
      <c r="AM2" s="29" t="s">
        <v>69</v>
      </c>
    </row>
    <row r="3" spans="1:39" x14ac:dyDescent="0.25">
      <c r="A3" s="18" t="s">
        <v>1</v>
      </c>
      <c r="B3" s="19"/>
      <c r="C3" s="19"/>
      <c r="D3" s="20"/>
      <c r="F3" s="37" t="s">
        <v>9</v>
      </c>
      <c r="G3" s="38" t="s">
        <v>9</v>
      </c>
      <c r="H3" s="38" t="s">
        <v>9</v>
      </c>
      <c r="I3" s="39" t="s">
        <v>9</v>
      </c>
      <c r="J3" s="17"/>
      <c r="K3" s="17"/>
      <c r="L3" s="33" t="s">
        <v>9</v>
      </c>
      <c r="M3" s="17"/>
      <c r="N3" s="17"/>
      <c r="O3" s="33" t="s">
        <v>9</v>
      </c>
      <c r="P3" s="17"/>
      <c r="Q3" s="17"/>
      <c r="R3" s="33" t="s">
        <v>9</v>
      </c>
      <c r="S3" s="17"/>
      <c r="T3" s="17"/>
      <c r="U3" s="27" t="s">
        <v>9</v>
      </c>
      <c r="V3" s="28" t="s">
        <v>9</v>
      </c>
      <c r="W3" s="28" t="s">
        <v>9</v>
      </c>
      <c r="X3" s="28" t="s">
        <v>9</v>
      </c>
      <c r="Y3" s="28" t="s">
        <v>9</v>
      </c>
      <c r="Z3" s="29" t="s">
        <v>9</v>
      </c>
      <c r="AA3" s="17"/>
      <c r="AB3" s="17"/>
      <c r="AC3" s="33" t="s">
        <v>9</v>
      </c>
      <c r="AD3" s="17"/>
      <c r="AE3" s="17"/>
      <c r="AF3" s="27" t="s">
        <v>9</v>
      </c>
      <c r="AG3" s="28" t="s">
        <v>9</v>
      </c>
      <c r="AH3" s="28" t="s">
        <v>9</v>
      </c>
      <c r="AI3" s="28" t="s">
        <v>9</v>
      </c>
      <c r="AJ3" s="28" t="s">
        <v>9</v>
      </c>
      <c r="AK3" s="28" t="s">
        <v>9</v>
      </c>
      <c r="AL3" s="28" t="s">
        <v>9</v>
      </c>
      <c r="AM3" s="29" t="s">
        <v>9</v>
      </c>
    </row>
    <row r="4" spans="1:39" x14ac:dyDescent="0.25">
      <c r="A4" s="8" t="s">
        <v>27</v>
      </c>
      <c r="B4" s="43">
        <v>1</v>
      </c>
      <c r="C4" s="23">
        <v>43329</v>
      </c>
      <c r="D4" s="21" t="s">
        <v>28</v>
      </c>
      <c r="F4" s="37" t="s">
        <v>70</v>
      </c>
      <c r="G4" s="38" t="s">
        <v>70</v>
      </c>
      <c r="H4" s="38" t="s">
        <v>71</v>
      </c>
      <c r="I4" s="39" t="s">
        <v>71</v>
      </c>
      <c r="J4" s="17"/>
      <c r="K4" s="17"/>
      <c r="L4" s="33" t="s">
        <v>71</v>
      </c>
      <c r="M4" s="17"/>
      <c r="N4" s="17"/>
      <c r="O4" s="33" t="s">
        <v>70</v>
      </c>
      <c r="P4" s="17"/>
      <c r="Q4" s="17"/>
      <c r="R4" s="33" t="s">
        <v>71</v>
      </c>
      <c r="S4" s="17"/>
      <c r="T4" s="17"/>
      <c r="U4" s="27" t="s">
        <v>71</v>
      </c>
      <c r="V4" s="28" t="s">
        <v>71</v>
      </c>
      <c r="W4" s="28" t="s">
        <v>71</v>
      </c>
      <c r="X4" s="28" t="s">
        <v>71</v>
      </c>
      <c r="Y4" s="28" t="s">
        <v>71</v>
      </c>
      <c r="Z4" s="29" t="s">
        <v>71</v>
      </c>
      <c r="AA4" s="17"/>
      <c r="AB4" s="17"/>
      <c r="AC4" s="35" t="s">
        <v>72</v>
      </c>
      <c r="AD4" s="17"/>
      <c r="AE4" s="17"/>
      <c r="AF4" s="27" t="s">
        <v>71</v>
      </c>
      <c r="AG4" s="28" t="s">
        <v>71</v>
      </c>
      <c r="AH4" s="28" t="s">
        <v>71</v>
      </c>
      <c r="AI4" s="28" t="s">
        <v>71</v>
      </c>
      <c r="AJ4" s="28" t="s">
        <v>71</v>
      </c>
      <c r="AK4" s="28" t="s">
        <v>71</v>
      </c>
      <c r="AL4" s="28" t="s">
        <v>71</v>
      </c>
      <c r="AM4" s="29" t="s">
        <v>71</v>
      </c>
    </row>
    <row r="5" spans="1:39" x14ac:dyDescent="0.25">
      <c r="A5" s="8" t="s">
        <v>27</v>
      </c>
      <c r="B5" s="43">
        <v>2</v>
      </c>
      <c r="C5" s="23">
        <v>43329</v>
      </c>
      <c r="D5" s="21" t="s">
        <v>33</v>
      </c>
      <c r="F5" s="37" t="s">
        <v>70</v>
      </c>
      <c r="G5" s="38" t="s">
        <v>70</v>
      </c>
      <c r="H5" s="38" t="s">
        <v>71</v>
      </c>
      <c r="I5" s="39" t="s">
        <v>71</v>
      </c>
      <c r="J5" s="17"/>
      <c r="K5" s="17"/>
      <c r="L5" s="33" t="s">
        <v>71</v>
      </c>
      <c r="M5" s="17"/>
      <c r="N5" s="17"/>
      <c r="O5" s="33" t="s">
        <v>70</v>
      </c>
      <c r="P5" s="17"/>
      <c r="Q5" s="17"/>
      <c r="R5" s="33" t="s">
        <v>71</v>
      </c>
      <c r="S5" s="17"/>
      <c r="T5" s="17"/>
      <c r="U5" s="27" t="s">
        <v>71</v>
      </c>
      <c r="V5" s="28" t="s">
        <v>71</v>
      </c>
      <c r="W5" s="28" t="s">
        <v>71</v>
      </c>
      <c r="X5" s="28" t="s">
        <v>71</v>
      </c>
      <c r="Y5" s="28" t="s">
        <v>71</v>
      </c>
      <c r="Z5" s="29" t="s">
        <v>71</v>
      </c>
      <c r="AA5" s="17"/>
      <c r="AB5" s="17"/>
      <c r="AC5" s="35" t="s">
        <v>73</v>
      </c>
      <c r="AD5" s="17"/>
      <c r="AE5" s="17"/>
      <c r="AF5" s="27" t="s">
        <v>71</v>
      </c>
      <c r="AG5" s="28" t="s">
        <v>71</v>
      </c>
      <c r="AH5" s="28" t="s">
        <v>71</v>
      </c>
      <c r="AI5" s="28" t="s">
        <v>71</v>
      </c>
      <c r="AJ5" s="28" t="s">
        <v>71</v>
      </c>
      <c r="AK5" s="28" t="s">
        <v>71</v>
      </c>
      <c r="AL5" s="28" t="s">
        <v>71</v>
      </c>
      <c r="AM5" s="29" t="s">
        <v>71</v>
      </c>
    </row>
    <row r="6" spans="1:39" x14ac:dyDescent="0.25">
      <c r="A6" s="8" t="s">
        <v>27</v>
      </c>
      <c r="B6" s="43">
        <v>3</v>
      </c>
      <c r="C6" s="23">
        <v>43329</v>
      </c>
      <c r="D6" s="21" t="s">
        <v>35</v>
      </c>
      <c r="F6" s="37" t="s">
        <v>70</v>
      </c>
      <c r="G6" s="38" t="s">
        <v>70</v>
      </c>
      <c r="H6" s="38" t="s">
        <v>71</v>
      </c>
      <c r="I6" s="39" t="s">
        <v>71</v>
      </c>
      <c r="J6" s="17"/>
      <c r="K6" s="17"/>
      <c r="L6" s="33" t="s">
        <v>71</v>
      </c>
      <c r="M6" s="17"/>
      <c r="N6" s="17"/>
      <c r="O6" s="33" t="s">
        <v>70</v>
      </c>
      <c r="P6" s="17"/>
      <c r="Q6" s="17"/>
      <c r="R6" s="33" t="s">
        <v>71</v>
      </c>
      <c r="S6" s="17"/>
      <c r="T6" s="17"/>
      <c r="U6" s="27" t="s">
        <v>71</v>
      </c>
      <c r="V6" s="28" t="s">
        <v>71</v>
      </c>
      <c r="W6" s="28" t="s">
        <v>71</v>
      </c>
      <c r="X6" s="28" t="s">
        <v>71</v>
      </c>
      <c r="Y6" s="28" t="s">
        <v>71</v>
      </c>
      <c r="Z6" s="29" t="s">
        <v>71</v>
      </c>
      <c r="AA6" s="17"/>
      <c r="AB6" s="17"/>
      <c r="AC6" s="35" t="s">
        <v>74</v>
      </c>
      <c r="AD6" s="17"/>
      <c r="AE6" s="17"/>
      <c r="AF6" s="27" t="s">
        <v>71</v>
      </c>
      <c r="AG6" s="28" t="s">
        <v>71</v>
      </c>
      <c r="AH6" s="28" t="s">
        <v>71</v>
      </c>
      <c r="AI6" s="28" t="s">
        <v>71</v>
      </c>
      <c r="AJ6" s="28" t="s">
        <v>71</v>
      </c>
      <c r="AK6" s="28" t="s">
        <v>71</v>
      </c>
      <c r="AL6" s="28" t="s">
        <v>71</v>
      </c>
      <c r="AM6" s="29" t="s">
        <v>71</v>
      </c>
    </row>
    <row r="7" spans="1:39" x14ac:dyDescent="0.25">
      <c r="A7" s="8" t="s">
        <v>27</v>
      </c>
      <c r="B7" s="43">
        <v>4</v>
      </c>
      <c r="C7" s="23">
        <v>43329</v>
      </c>
      <c r="D7" s="21" t="s">
        <v>36</v>
      </c>
      <c r="F7" s="37" t="s">
        <v>70</v>
      </c>
      <c r="G7" s="38" t="s">
        <v>70</v>
      </c>
      <c r="H7" s="38" t="s">
        <v>71</v>
      </c>
      <c r="I7" s="39" t="s">
        <v>71</v>
      </c>
      <c r="J7" s="17"/>
      <c r="K7" s="17"/>
      <c r="L7" s="33" t="s">
        <v>71</v>
      </c>
      <c r="M7" s="17"/>
      <c r="N7" s="17"/>
      <c r="O7" s="33" t="s">
        <v>70</v>
      </c>
      <c r="P7" s="17"/>
      <c r="Q7" s="17"/>
      <c r="R7" s="33" t="s">
        <v>71</v>
      </c>
      <c r="S7" s="17"/>
      <c r="T7" s="17"/>
      <c r="U7" s="27" t="s">
        <v>71</v>
      </c>
      <c r="V7" s="28" t="s">
        <v>71</v>
      </c>
      <c r="W7" s="28" t="s">
        <v>71</v>
      </c>
      <c r="X7" s="28" t="s">
        <v>71</v>
      </c>
      <c r="Y7" s="28" t="s">
        <v>71</v>
      </c>
      <c r="Z7" s="29" t="s">
        <v>71</v>
      </c>
      <c r="AA7" s="17"/>
      <c r="AB7" s="17"/>
      <c r="AC7" s="35" t="s">
        <v>75</v>
      </c>
      <c r="AD7" s="17"/>
      <c r="AE7" s="17"/>
      <c r="AF7" s="27" t="s">
        <v>71</v>
      </c>
      <c r="AG7" s="28" t="s">
        <v>71</v>
      </c>
      <c r="AH7" s="28" t="s">
        <v>71</v>
      </c>
      <c r="AI7" s="28" t="s">
        <v>71</v>
      </c>
      <c r="AJ7" s="28" t="s">
        <v>71</v>
      </c>
      <c r="AK7" s="28" t="s">
        <v>71</v>
      </c>
      <c r="AL7" s="28" t="s">
        <v>71</v>
      </c>
      <c r="AM7" s="29" t="s">
        <v>71</v>
      </c>
    </row>
    <row r="8" spans="1:39" ht="15.75" thickBot="1" x14ac:dyDescent="0.3">
      <c r="A8" s="8" t="s">
        <v>27</v>
      </c>
      <c r="B8" s="43">
        <v>5</v>
      </c>
      <c r="C8" s="23">
        <v>43330</v>
      </c>
      <c r="D8" s="21" t="s">
        <v>37</v>
      </c>
      <c r="F8" s="40" t="s">
        <v>70</v>
      </c>
      <c r="G8" s="41" t="s">
        <v>70</v>
      </c>
      <c r="H8" s="41" t="s">
        <v>71</v>
      </c>
      <c r="I8" s="42" t="s">
        <v>71</v>
      </c>
      <c r="J8" s="17"/>
      <c r="K8" s="17"/>
      <c r="L8" s="34" t="s">
        <v>71</v>
      </c>
      <c r="M8" s="17"/>
      <c r="N8" s="17"/>
      <c r="O8" s="34" t="s">
        <v>70</v>
      </c>
      <c r="P8" s="17"/>
      <c r="Q8" s="17"/>
      <c r="R8" s="34" t="s">
        <v>71</v>
      </c>
      <c r="S8" s="17"/>
      <c r="T8" s="17"/>
      <c r="U8" s="30" t="s">
        <v>71</v>
      </c>
      <c r="V8" s="31" t="s">
        <v>71</v>
      </c>
      <c r="W8" s="31" t="s">
        <v>71</v>
      </c>
      <c r="X8" s="31" t="s">
        <v>71</v>
      </c>
      <c r="Y8" s="31" t="s">
        <v>71</v>
      </c>
      <c r="Z8" s="32" t="s">
        <v>71</v>
      </c>
      <c r="AA8" s="17"/>
      <c r="AB8" s="17"/>
      <c r="AC8" s="36" t="s">
        <v>76</v>
      </c>
      <c r="AD8" s="17"/>
      <c r="AE8" s="17"/>
      <c r="AF8" s="30" t="s">
        <v>71</v>
      </c>
      <c r="AG8" s="31" t="s">
        <v>71</v>
      </c>
      <c r="AH8" s="31" t="s">
        <v>71</v>
      </c>
      <c r="AI8" s="31" t="s">
        <v>71</v>
      </c>
      <c r="AJ8" s="31" t="s">
        <v>71</v>
      </c>
      <c r="AK8" s="31" t="s">
        <v>71</v>
      </c>
      <c r="AL8" s="31" t="s">
        <v>71</v>
      </c>
      <c r="AM8" s="32" t="s">
        <v>71</v>
      </c>
    </row>
  </sheetData>
  <mergeCells count="3">
    <mergeCell ref="F1:I1"/>
    <mergeCell ref="U1:Z1"/>
    <mergeCell ref="AF1:AM1"/>
  </mergeCells>
  <pageMargins left="0.7" right="0.7" top="0.75" bottom="0.75" header="0.3" footer="0.3"/>
  <pageSetup paperSize="9" scale="25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B68D90-6969-4695-89B2-B2A1918F0B4A}"/>
</file>

<file path=customXml/itemProps2.xml><?xml version="1.0" encoding="utf-8"?>
<ds:datastoreItem xmlns:ds="http://schemas.openxmlformats.org/officeDocument/2006/customXml" ds:itemID="{AEE1D7BA-F83D-40A0-BEBC-63222CDC0B71}"/>
</file>

<file path=customXml/itemProps3.xml><?xml version="1.0" encoding="utf-8"?>
<ds:datastoreItem xmlns:ds="http://schemas.openxmlformats.org/officeDocument/2006/customXml" ds:itemID="{CDC171E4-329F-47EB-BA04-E28E93AAD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Lims1 Results 16</vt:lpstr>
      <vt:lpstr>Pesticides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2018-11-21T04:01:57Z</cp:lastPrinted>
  <dcterms:created xsi:type="dcterms:W3CDTF">2018-09-27T04:51:43Z</dcterms:created>
  <dcterms:modified xsi:type="dcterms:W3CDTF">2018-11-21T04:05:12Z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
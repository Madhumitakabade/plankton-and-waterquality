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18\Nathan\NQBP\"/>
    </mc:Choice>
  </mc:AlternateContent>
  <bookViews>
    <workbookView xWindow="0" yWindow="0" windowWidth="9015" windowHeight="10035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M6" i="1"/>
  <c r="M7" i="1"/>
  <c r="M4" i="1"/>
  <c r="J5" i="1"/>
  <c r="J6" i="1"/>
  <c r="J7" i="1"/>
  <c r="J4" i="1"/>
</calcChain>
</file>

<file path=xl/sharedStrings.xml><?xml version="1.0" encoding="utf-8"?>
<sst xmlns="http://schemas.openxmlformats.org/spreadsheetml/2006/main" count="41" uniqueCount="29">
  <si>
    <t>Reference</t>
  </si>
  <si>
    <t>Units</t>
  </si>
  <si>
    <t>Sample</t>
  </si>
  <si>
    <t>Date</t>
  </si>
  <si>
    <t>No.</t>
  </si>
  <si>
    <t>Bottle ID for Sample Bottle</t>
  </si>
  <si>
    <t>pH</t>
  </si>
  <si>
    <t>Electrical Conductivity</t>
  </si>
  <si>
    <t>µS/cm</t>
  </si>
  <si>
    <t>Salinity</t>
  </si>
  <si>
    <t>PSU</t>
  </si>
  <si>
    <t>Chlorophyll-a</t>
  </si>
  <si>
    <t>µg/L</t>
  </si>
  <si>
    <t>Phaeophytin a</t>
  </si>
  <si>
    <t>Total Dissolved Nitrogen</t>
  </si>
  <si>
    <t>µg N/L</t>
  </si>
  <si>
    <t>Total Nitrogen</t>
  </si>
  <si>
    <t>Total Dissolved Phosphorus</t>
  </si>
  <si>
    <t>µg P/L</t>
  </si>
  <si>
    <t>Total Phosphorus</t>
  </si>
  <si>
    <t>J18-0349</t>
  </si>
  <si>
    <t/>
  </si>
  <si>
    <t>WP_AMB1</t>
  </si>
  <si>
    <t>&lt;0.2</t>
  </si>
  <si>
    <t>WP_AMB2</t>
  </si>
  <si>
    <t>WP_AMB3</t>
  </si>
  <si>
    <t>WP_AMB4</t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</si>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</sst>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49" fontId="1" fillId="2" borderId="0" xfId="0" applyNumberFormat="1" applyFont="1" applyFill="1" applyAlignment="1"/>
    <xf numFmtId="0" fontId="1" fillId="2" borderId="0" xfId="0" applyFont="1" applyFill="1" applyAlignment="1"/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"/>
  <sheetViews>
    <sheetView tabSelected="1" workbookViewId="0">
      <selection activeCell="D5" sqref="D5"/>
    </sheetView>
  </sheetViews>
  <sheetFormatPr defaultRowHeight="15" x14ac:dyDescent="0.25"/>
  <cols>
    <col min="2" max="2" width="9.28515625" bestFit="1" customWidth="1"/>
    <col min="3" max="3" width="24.85546875" style="17" bestFit="1" customWidth="1"/>
    <col min="4" max="4" width="23" style="17" bestFit="1" customWidth="1"/>
    <col min="5" max="5" width="9.28515625" style="17" bestFit="1" customWidth="1"/>
    <col min="6" max="6" width="18.85546875" style="17" bestFit="1" customWidth="1"/>
    <col min="7" max="7" width="9.28515625" style="17" bestFit="1" customWidth="1"/>
    <col min="8" max="8" width="12.5703125" style="17" bestFit="1" customWidth="1"/>
    <col min="9" max="9" width="21" style="17" bestFit="1" customWidth="1"/>
    <col min="10" max="10" width="21" style="17" customWidth="1"/>
    <col min="11" max="11" width="15.28515625" style="17" bestFit="1" customWidth="1"/>
    <col min="12" max="12" width="23.7109375" style="17" bestFit="1" customWidth="1"/>
    <col min="13" max="13" width="23.7109375" style="17" customWidth="1"/>
    <col min="14" max="14" width="11.7109375" style="17" bestFit="1" customWidth="1"/>
    <col min="15" max="15" width="12.42578125" style="17" bestFit="1" customWidth="1"/>
  </cols>
  <sheetData>
    <row r="1" spans="1:15" x14ac:dyDescent="0.25">
      <c r="A1" s="1" t="s">
        <v>0</v>
      </c>
      <c r="B1" s="2" t="s">
        <v>2</v>
      </c>
      <c r="C1" s="12" t="s">
        <v>2</v>
      </c>
      <c r="D1" s="12" t="s">
        <v>5</v>
      </c>
      <c r="E1" s="12" t="s">
        <v>6</v>
      </c>
      <c r="F1" s="12" t="s">
        <v>7</v>
      </c>
      <c r="G1" s="12" t="s">
        <v>9</v>
      </c>
      <c r="H1" s="12" t="s">
        <v>16</v>
      </c>
      <c r="I1" s="12" t="s">
        <v>14</v>
      </c>
      <c r="J1" s="20" t="s">
        <v>27</v>
      </c>
      <c r="K1" s="3" t="s">
        <v>19</v>
      </c>
      <c r="L1" s="12" t="s">
        <v>17</v>
      </c>
      <c r="M1" s="20" t="s">
        <v>28</v>
      </c>
      <c r="N1" s="12" t="s">
        <v>11</v>
      </c>
      <c r="O1" s="12" t="s">
        <v>13</v>
      </c>
    </row>
    <row r="2" spans="1:15" x14ac:dyDescent="0.25">
      <c r="A2" s="4"/>
      <c r="B2" s="6" t="s">
        <v>4</v>
      </c>
      <c r="C2" s="14" t="s">
        <v>3</v>
      </c>
      <c r="D2" s="14"/>
      <c r="E2" s="14"/>
      <c r="F2" s="14"/>
      <c r="G2" s="14"/>
      <c r="H2" s="14"/>
      <c r="I2" s="14"/>
      <c r="J2" s="21"/>
      <c r="K2" s="7"/>
      <c r="L2" s="14"/>
      <c r="M2" s="21"/>
      <c r="N2" s="14"/>
      <c r="O2" s="14"/>
    </row>
    <row r="3" spans="1:15" x14ac:dyDescent="0.25">
      <c r="A3" s="4" t="s">
        <v>1</v>
      </c>
      <c r="B3" s="5"/>
      <c r="C3" s="13"/>
      <c r="D3" s="14"/>
      <c r="E3" s="14"/>
      <c r="F3" s="14" t="s">
        <v>8</v>
      </c>
      <c r="G3" s="14" t="s">
        <v>10</v>
      </c>
      <c r="H3" s="14" t="s">
        <v>15</v>
      </c>
      <c r="I3" s="14" t="s">
        <v>15</v>
      </c>
      <c r="J3" s="21" t="s">
        <v>15</v>
      </c>
      <c r="K3" s="7" t="s">
        <v>18</v>
      </c>
      <c r="L3" s="14" t="s">
        <v>18</v>
      </c>
      <c r="M3" s="22" t="s">
        <v>18</v>
      </c>
      <c r="N3" s="14" t="s">
        <v>12</v>
      </c>
      <c r="O3" s="14" t="s">
        <v>12</v>
      </c>
    </row>
    <row r="4" spans="1:15" x14ac:dyDescent="0.25">
      <c r="A4" s="8" t="s">
        <v>20</v>
      </c>
      <c r="B4" s="9">
        <v>1</v>
      </c>
      <c r="C4" s="18">
        <v>43396</v>
      </c>
      <c r="D4" s="15" t="s">
        <v>22</v>
      </c>
      <c r="E4" s="15">
        <v>8.2200000000000006</v>
      </c>
      <c r="F4" s="15">
        <v>52890</v>
      </c>
      <c r="G4" s="15">
        <v>34.9</v>
      </c>
      <c r="H4" s="15">
        <v>354</v>
      </c>
      <c r="I4" s="15">
        <v>145</v>
      </c>
      <c r="J4" s="22">
        <f>+H4-I4</f>
        <v>209</v>
      </c>
      <c r="K4" s="15">
        <v>26</v>
      </c>
      <c r="L4" s="15">
        <v>8</v>
      </c>
      <c r="M4" s="22">
        <f>+K4-L4</f>
        <v>18</v>
      </c>
      <c r="N4" s="15">
        <v>2.61</v>
      </c>
      <c r="O4" s="15" t="s">
        <v>23</v>
      </c>
    </row>
    <row r="5" spans="1:15" x14ac:dyDescent="0.25">
      <c r="A5" s="8" t="s">
        <v>20</v>
      </c>
      <c r="B5" s="9">
        <v>2</v>
      </c>
      <c r="C5" s="18">
        <v>43395</v>
      </c>
      <c r="D5" s="15" t="s">
        <v>24</v>
      </c>
      <c r="E5" s="15">
        <v>8.25</v>
      </c>
      <c r="F5" s="15">
        <v>52760</v>
      </c>
      <c r="G5" s="15">
        <v>34.799999999999997</v>
      </c>
      <c r="H5" s="15">
        <v>222</v>
      </c>
      <c r="I5" s="15">
        <v>152</v>
      </c>
      <c r="J5" s="22">
        <f t="shared" ref="J5:J7" si="0">+H5-I5</f>
        <v>70</v>
      </c>
      <c r="K5" s="15">
        <v>21</v>
      </c>
      <c r="L5" s="15">
        <v>8</v>
      </c>
      <c r="M5" s="22">
        <f t="shared" ref="M5:M7" si="1">+K5-L5</f>
        <v>13</v>
      </c>
      <c r="N5" s="15">
        <v>1.86</v>
      </c>
      <c r="O5" s="15" t="s">
        <v>23</v>
      </c>
    </row>
    <row r="6" spans="1:15" x14ac:dyDescent="0.25">
      <c r="A6" s="8" t="s">
        <v>20</v>
      </c>
      <c r="B6" s="9">
        <v>3</v>
      </c>
      <c r="C6" s="18">
        <v>43395</v>
      </c>
      <c r="D6" s="15" t="s">
        <v>25</v>
      </c>
      <c r="E6" s="15">
        <v>8.15</v>
      </c>
      <c r="F6" s="15">
        <v>51110</v>
      </c>
      <c r="G6" s="15">
        <v>33.6</v>
      </c>
      <c r="H6" s="15">
        <v>223</v>
      </c>
      <c r="I6" s="15">
        <v>168</v>
      </c>
      <c r="J6" s="22">
        <f t="shared" si="0"/>
        <v>55</v>
      </c>
      <c r="K6" s="15">
        <v>20</v>
      </c>
      <c r="L6" s="15">
        <v>10</v>
      </c>
      <c r="M6" s="22">
        <f t="shared" si="1"/>
        <v>10</v>
      </c>
      <c r="N6" s="15">
        <v>1.04</v>
      </c>
      <c r="O6" s="15" t="s">
        <v>23</v>
      </c>
    </row>
    <row r="7" spans="1:15" x14ac:dyDescent="0.25">
      <c r="A7" s="8" t="s">
        <v>20</v>
      </c>
      <c r="B7" s="9">
        <v>4</v>
      </c>
      <c r="C7" s="18">
        <v>43395</v>
      </c>
      <c r="D7" s="15" t="s">
        <v>26</v>
      </c>
      <c r="E7" s="15">
        <v>8.2899999999999991</v>
      </c>
      <c r="F7" s="15">
        <v>47330</v>
      </c>
      <c r="G7" s="15">
        <v>30.8</v>
      </c>
      <c r="H7" s="15">
        <v>224</v>
      </c>
      <c r="I7" s="15">
        <v>145</v>
      </c>
      <c r="J7" s="22">
        <f t="shared" si="0"/>
        <v>79</v>
      </c>
      <c r="K7" s="15">
        <v>29</v>
      </c>
      <c r="L7" s="15">
        <v>7</v>
      </c>
      <c r="M7" s="22">
        <f t="shared" si="1"/>
        <v>22</v>
      </c>
      <c r="N7" s="15">
        <v>3.38</v>
      </c>
      <c r="O7" s="15" t="s">
        <v>23</v>
      </c>
    </row>
    <row r="8" spans="1:15" x14ac:dyDescent="0.25">
      <c r="A8" s="10" t="s">
        <v>21</v>
      </c>
      <c r="B8" s="11"/>
      <c r="C8" s="19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</sheetData>
  <pageMargins left="0.7" right="0.7" top="0.75" bottom="0.75" header="0.3" footer="0.3"/>
  <pageSetup paperSize="9" scale="53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6D144F-4A79-46E7-A94B-BB1C09623D54}"/>
</file>

<file path=customXml/itemProps2.xml><?xml version="1.0" encoding="utf-8"?>
<ds:datastoreItem xmlns:ds="http://schemas.openxmlformats.org/officeDocument/2006/customXml" ds:itemID="{CA904408-A1B5-4D5A-BBFA-A6B43032F532}"/>
</file>

<file path=customXml/itemProps3.xml><?xml version="1.0" encoding="utf-8"?>
<ds:datastoreItem xmlns:ds="http://schemas.openxmlformats.org/officeDocument/2006/customXml" ds:itemID="{26DCBBE5-7A51-4D76-83B2-C8CB19E84A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cp:lastPrinted>2018-11-21T04:45:23Z</cp:lastPrinted>
  <dcterms:created xsi:type="dcterms:W3CDTF">2018-11-21T04:41:08Z</dcterms:created>
  <dcterms:modified xsi:type="dcterms:W3CDTF">2018-11-21T04:46:34Z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
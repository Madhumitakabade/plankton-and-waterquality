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<sst xmlns="http://schemas.openxmlformats.org/spreadsheetml/2006/main" count="185" uniqueCount="69">
  <si>
    <t>Reference</t>
  </si>
  <si>
    <t>Units</t>
  </si>
  <si>
    <t>Description</t>
  </si>
  <si>
    <t>Sample</t>
  </si>
  <si>
    <t>Date</t>
  </si>
  <si>
    <t>No.</t>
  </si>
  <si>
    <t>Bottle ID for Sample Bottle</t>
  </si>
  <si>
    <t>pH</t>
  </si>
  <si>
    <t>Electrical Conductivity</t>
  </si>
  <si>
    <t>µS/cm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</si>
  <si>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</si>
  <si>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</si>
  <si>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</si>
  <si>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</si>
  <si>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</si>
  <si>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</si>
  <si>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</si>
  <si>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</si>
  <si>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Silver UT</t>
  </si>
  <si>
    <t>µg/L</t>
  </si>
  <si>
    <t>Cadmium UT</t>
  </si>
  <si>
    <t>Copper UT</t>
  </si>
  <si>
    <t>Lead UT</t>
  </si>
  <si>
    <t>Nickel UT</t>
  </si>
  <si>
    <t>Arsenic UT</t>
  </si>
  <si>
    <t>Zinc UT</t>
  </si>
  <si>
    <t>Chlorophyll-a</t>
  </si>
  <si>
    <t>Phaeophytin a</t>
  </si>
  <si>
    <t>J19-0015</t>
  </si>
  <si>
    <t>AMB1</t>
  </si>
  <si>
    <t>WP_AMB1</t>
  </si>
  <si>
    <t>&lt;0.1</t>
  </si>
  <si>
    <t>&lt;0.2</t>
  </si>
  <si>
    <t>&lt;1</t>
  </si>
  <si>
    <t>&lt;0.5</t>
  </si>
  <si>
    <t>&lt;5</t>
  </si>
  <si>
    <t>AMB2</t>
  </si>
  <si>
    <t>WP_AMB2</t>
  </si>
  <si>
    <t>AMB3</t>
  </si>
  <si>
    <t>WP_AMB3</t>
  </si>
  <si>
    <t>AMB4</t>
  </si>
  <si>
    <t>WP_AMB4</t>
  </si>
  <si>
    <t/>
  </si>
  <si>
    <t>PN</t>
  </si>
  <si>
    <t>PP</t>
  </si>
  <si>
    <t>EP234A: OP Pesticides</t>
  </si>
  <si>
    <t>EP234B: Thiocarbamates and Carbamates</t>
  </si>
  <si>
    <t>EP234C: Dinitroanilines</t>
  </si>
  <si>
    <t>EP234D: Triazinone Herbicides</t>
  </si>
  <si>
    <t>EP234E: Conazole and Aminopyrimidine Fungicides</t>
  </si>
  <si>
    <t>Chlorpyrifos</t>
  </si>
  <si>
    <t>Malathion</t>
  </si>
  <si>
    <t>Diazinon</t>
  </si>
  <si>
    <t>Pirimiphos-methyl</t>
  </si>
  <si>
    <t>Thiobencarb</t>
  </si>
  <si>
    <t>Pendimethalin</t>
  </si>
  <si>
    <t>Hexazinone</t>
  </si>
  <si>
    <t>Propiconazole</t>
  </si>
  <si>
    <t>Hexaconazole</t>
  </si>
  <si>
    <t>Difenoconazole</t>
  </si>
  <si>
    <t>Tebuconazole</t>
  </si>
  <si>
    <t>Flusilazole</t>
  </si>
  <si>
    <t>Penconazole</t>
  </si>
  <si>
    <t>&lt;0.001</t>
  </si>
  <si>
    <t>&lt;0.0002</t>
  </si>
  <si>
    <t>0.0006</t>
  </si>
  <si>
    <t>0.0002</t>
  </si>
  <si>
    <t>0.0005</t>
  </si>
  <si>
    <t>0.0007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</si>
</sst>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 tint="-0.24994659260841701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0">
    <xf numFmtId="0" fontId="0" fillId="0" borderId="0" xfId="0"/>
    <xf numFmtId="49" fontId="18" fillId="0" borderId="16" xfId="0" applyNumberFormat="1" applyFont="1" applyBorder="1" applyAlignment="1">
      <alignment horizontal="center"/>
    </xf>
    <xf numFmtId="49" fontId="18" fillId="0" borderId="11" xfId="0" applyNumberFormat="1" applyFont="1" applyBorder="1" applyAlignment="1">
      <alignment horizontal="center"/>
    </xf>
    <xf numFmtId="49" fontId="18" fillId="0" borderId="13" xfId="0" applyNumberFormat="1" applyFont="1" applyBorder="1" applyAlignment="1">
      <alignment horizontal="center"/>
    </xf>
    <xf numFmtId="49" fontId="18" fillId="0" borderId="17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49" fontId="18" fillId="0" borderId="0" xfId="0" applyNumberFormat="1" applyFont="1" applyAlignment="1"/>
    <xf numFmtId="0" fontId="18" fillId="0" borderId="0" xfId="0" applyFont="1" applyAlignment="1"/>
    <xf numFmtId="164" fontId="18" fillId="33" borderId="0" xfId="0" applyNumberFormat="1" applyFont="1" applyFill="1" applyAlignment="1"/>
    <xf numFmtId="49" fontId="18" fillId="33" borderId="0" xfId="0" applyNumberFormat="1" applyFont="1" applyFill="1" applyAlignment="1"/>
    <xf numFmtId="0" fontId="18" fillId="33" borderId="0" xfId="0" applyFont="1" applyFill="1" applyAlignment="1"/>
    <xf numFmtId="0" fontId="18" fillId="0" borderId="0" xfId="0" applyNumberFormat="1" applyFont="1" applyAlignment="1">
      <alignment horizontal="center"/>
    </xf>
    <xf numFmtId="0" fontId="18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8" fillId="34" borderId="11" xfId="0" applyNumberFormat="1" applyFont="1" applyFill="1" applyBorder="1" applyAlignment="1">
      <alignment horizontal="center"/>
    </xf>
    <xf numFmtId="49" fontId="18" fillId="34" borderId="0" xfId="0" applyNumberFormat="1" applyFont="1" applyFill="1" applyBorder="1" applyAlignment="1">
      <alignment horizontal="center"/>
    </xf>
    <xf numFmtId="0" fontId="18" fillId="34" borderId="0" xfId="0" applyNumberFormat="1" applyFont="1" applyFill="1" applyAlignment="1">
      <alignment horizontal="center"/>
    </xf>
    <xf numFmtId="0" fontId="20" fillId="0" borderId="23" xfId="0" applyNumberFormat="1" applyFont="1" applyFill="1" applyBorder="1" applyAlignment="1" applyProtection="1">
      <alignment horizontal="center"/>
    </xf>
    <xf numFmtId="0" fontId="20" fillId="0" borderId="23" xfId="0" applyNumberFormat="1" applyFont="1" applyFill="1" applyBorder="1" applyAlignment="1" applyProtection="1">
      <alignment horizontal="left"/>
    </xf>
    <xf numFmtId="14" fontId="18" fillId="0" borderId="0" xfId="0" applyNumberFormat="1" applyFont="1" applyFill="1" applyAlignment="1">
      <alignment horizontal="center"/>
    </xf>
    <xf numFmtId="0" fontId="20" fillId="0" borderId="21" xfId="0" applyNumberFormat="1" applyFont="1" applyFill="1" applyBorder="1" applyAlignment="1" applyProtection="1">
      <alignment horizontal="center"/>
    </xf>
    <xf numFmtId="0" fontId="20" fillId="0" borderId="21" xfId="0" applyNumberFormat="1" applyFont="1" applyFill="1" applyBorder="1" applyAlignment="1" applyProtection="1">
      <alignment horizontal="left"/>
    </xf>
    <xf numFmtId="0" fontId="20" fillId="0" borderId="22" xfId="0" applyNumberFormat="1" applyFont="1" applyFill="1" applyBorder="1" applyAlignment="1" applyProtection="1">
      <alignment horizontal="center"/>
    </xf>
    <xf numFmtId="0" fontId="20" fillId="0" borderId="22" xfId="0" applyNumberFormat="1" applyFont="1" applyFill="1" applyBorder="1" applyAlignment="1" applyProtection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20" fillId="0" borderId="0" xfId="0" applyNumberFormat="1" applyFont="1" applyFill="1" applyBorder="1" applyAlignment="1" applyProtection="1">
      <alignment horizontal="center"/>
    </xf>
    <xf numFmtId="0" fontId="0" fillId="0" borderId="0" xfId="0" applyFill="1"/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0" xfId="0" applyBorder="1"/>
    <xf numFmtId="0" fontId="0" fillId="0" borderId="12" xfId="0" applyBorder="1"/>
    <xf numFmtId="0" fontId="19" fillId="0" borderId="15" xfId="0" applyNumberFormat="1" applyFont="1" applyFill="1" applyBorder="1" applyAlignment="1" applyProtection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19" fillId="0" borderId="15" xfId="0" applyNumberFormat="1" applyFont="1" applyFill="1" applyBorder="1" applyAlignment="1" applyProtection="1">
      <alignment horizontal="center"/>
    </xf>
    <xf numFmtId="0" fontId="19" fillId="0" borderId="19" xfId="0" applyNumberFormat="1" applyFont="1" applyFill="1" applyBorder="1" applyAlignment="1" applyProtection="1">
      <alignment horizontal="center"/>
    </xf>
    <xf numFmtId="0" fontId="0" fillId="0" borderId="15" xfId="0" applyBorder="1"/>
    <xf numFmtId="0" fontId="0" fillId="0" borderId="0" xfId="0" applyBorder="1"/>
    <xf numFmtId="0" fontId="0" fillId="0" borderId="12" xfId="0" applyBorder="1"/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/>
    <xf numFmtId="0" fontId="0" fillId="0" borderId="10" xfId="0" applyBorder="1"/>
    <xf numFmtId="0" fontId="0" fillId="0" borderId="2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topLeftCell="D1" zoomScaleNormal="100" workbookViewId="0">
      <selection activeCell="E17" sqref="E17"/>
    </sheetView>
  </sheetViews>
  <sheetFormatPr defaultRowHeight="15" x14ac:dyDescent="0.25"/>
  <cols>
    <col min="4" max="4" width="11.140625" customWidth="1"/>
    <col min="5" max="5" width="23" style="15" bestFit="1" customWidth="1"/>
    <col min="6" max="6" width="9.140625" style="15"/>
    <col min="7" max="7" width="18.85546875" style="15" bestFit="1" customWidth="1"/>
    <col min="8" max="8" width="9.140625" style="15"/>
    <col min="9" max="9" width="12.5703125" style="15" bestFit="1" customWidth="1"/>
    <col min="10" max="10" width="21" style="15" bestFit="1" customWidth="1"/>
    <col min="11" max="11" width="12" style="15" customWidth="1"/>
    <col min="12" max="12" width="15.28515625" style="15" bestFit="1" customWidth="1"/>
    <col min="13" max="13" width="23.7109375" style="15" bestFit="1" customWidth="1"/>
    <col min="14" max="14" width="13.85546875" style="15" customWidth="1"/>
    <col min="15" max="15" width="11.7109375" style="15" bestFit="1" customWidth="1"/>
    <col min="16" max="16" width="12.42578125" style="15" bestFit="1" customWidth="1"/>
    <col min="17" max="17" width="9.140625" style="15"/>
    <col min="18" max="18" width="11.5703125" style="15" bestFit="1" customWidth="1"/>
    <col min="19" max="23" width="9.140625" style="15"/>
  </cols>
  <sheetData>
    <row r="1" spans="1:23" x14ac:dyDescent="0.25">
      <c r="A1" s="1" t="s">
        <v>0</v>
      </c>
      <c r="B1" s="2" t="s">
        <v>3</v>
      </c>
      <c r="C1" s="2" t="s">
        <v>3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12</v>
      </c>
      <c r="J1" s="2" t="s">
        <v>14</v>
      </c>
      <c r="K1" s="16" t="s">
        <v>43</v>
      </c>
      <c r="L1" s="2" t="s">
        <v>15</v>
      </c>
      <c r="M1" s="2" t="s">
        <v>17</v>
      </c>
      <c r="N1" s="16" t="s">
        <v>44</v>
      </c>
      <c r="O1" s="2" t="s">
        <v>26</v>
      </c>
      <c r="P1" s="3" t="s">
        <v>27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</row>
    <row r="2" spans="1:23" x14ac:dyDescent="0.25">
      <c r="A2" s="4"/>
      <c r="B2" s="6" t="s">
        <v>5</v>
      </c>
      <c r="C2" s="6" t="s">
        <v>2</v>
      </c>
      <c r="D2" s="6" t="s">
        <v>4</v>
      </c>
      <c r="E2" s="6"/>
      <c r="F2" s="6"/>
      <c r="G2" s="6"/>
      <c r="H2" s="6"/>
      <c r="I2" s="6"/>
      <c r="J2" s="6"/>
      <c r="K2" s="17"/>
      <c r="L2" s="6"/>
      <c r="M2" s="6"/>
      <c r="N2" s="17"/>
      <c r="O2" s="6"/>
      <c r="P2" s="7"/>
      <c r="Q2" s="6"/>
      <c r="R2" s="6"/>
      <c r="S2" s="6"/>
      <c r="T2" s="6"/>
      <c r="U2" s="6"/>
      <c r="V2" s="6"/>
      <c r="W2" s="6"/>
    </row>
    <row r="3" spans="1:23" x14ac:dyDescent="0.25">
      <c r="A3" s="4" t="s">
        <v>1</v>
      </c>
      <c r="B3" s="5"/>
      <c r="C3" s="5"/>
      <c r="D3" s="5"/>
      <c r="E3" s="6"/>
      <c r="F3" s="6"/>
      <c r="G3" s="6" t="s">
        <v>9</v>
      </c>
      <c r="H3" s="6" t="s">
        <v>11</v>
      </c>
      <c r="I3" s="6" t="s">
        <v>13</v>
      </c>
      <c r="J3" s="6" t="s">
        <v>13</v>
      </c>
      <c r="K3" s="17" t="s">
        <v>13</v>
      </c>
      <c r="L3" s="6" t="s">
        <v>16</v>
      </c>
      <c r="M3" s="6" t="s">
        <v>16</v>
      </c>
      <c r="N3" s="17" t="s">
        <v>16</v>
      </c>
      <c r="O3" s="6" t="s">
        <v>19</v>
      </c>
      <c r="P3" s="7" t="s">
        <v>19</v>
      </c>
      <c r="Q3" s="6" t="s">
        <v>19</v>
      </c>
      <c r="R3" s="6" t="s">
        <v>19</v>
      </c>
      <c r="S3" s="6" t="s">
        <v>19</v>
      </c>
      <c r="T3" s="6" t="s">
        <v>19</v>
      </c>
      <c r="U3" s="6" t="s">
        <v>19</v>
      </c>
      <c r="V3" s="6" t="s">
        <v>19</v>
      </c>
      <c r="W3" s="6"/>
    </row>
    <row r="4" spans="1:23" x14ac:dyDescent="0.25">
      <c r="A4" s="8" t="s">
        <v>28</v>
      </c>
      <c r="B4" s="9">
        <v>1</v>
      </c>
      <c r="C4" s="8" t="s">
        <v>29</v>
      </c>
      <c r="D4" s="21">
        <v>43483</v>
      </c>
      <c r="E4" s="13" t="s">
        <v>30</v>
      </c>
      <c r="F4" s="13">
        <v>7.43</v>
      </c>
      <c r="G4" s="13">
        <v>43510</v>
      </c>
      <c r="H4" s="13">
        <v>28</v>
      </c>
      <c r="I4" s="13">
        <v>255</v>
      </c>
      <c r="J4" s="13">
        <v>243</v>
      </c>
      <c r="K4" s="18">
        <f>+I4-J4</f>
        <v>12</v>
      </c>
      <c r="L4" s="13">
        <v>18</v>
      </c>
      <c r="M4" s="13">
        <v>5</v>
      </c>
      <c r="N4" s="18">
        <f>+L4-M4</f>
        <v>13</v>
      </c>
      <c r="O4" s="13">
        <v>2.3199999999999998</v>
      </c>
      <c r="P4" s="13">
        <v>0.36</v>
      </c>
      <c r="Q4" s="13" t="s">
        <v>31</v>
      </c>
      <c r="R4" s="13" t="s">
        <v>32</v>
      </c>
      <c r="S4" s="13" t="s">
        <v>33</v>
      </c>
      <c r="T4" s="13" t="s">
        <v>32</v>
      </c>
      <c r="U4" s="13" t="s">
        <v>34</v>
      </c>
      <c r="V4" s="13">
        <v>1.1000000000000001</v>
      </c>
      <c r="W4" s="13" t="s">
        <v>35</v>
      </c>
    </row>
    <row r="5" spans="1:23" x14ac:dyDescent="0.25">
      <c r="A5" s="8" t="s">
        <v>28</v>
      </c>
      <c r="B5" s="9">
        <v>2</v>
      </c>
      <c r="C5" s="8" t="s">
        <v>36</v>
      </c>
      <c r="D5" s="21">
        <v>43483</v>
      </c>
      <c r="E5" s="13" t="s">
        <v>37</v>
      </c>
      <c r="F5" s="13">
        <v>8.27</v>
      </c>
      <c r="G5" s="13">
        <v>47830</v>
      </c>
      <c r="H5" s="13">
        <v>31.1</v>
      </c>
      <c r="I5" s="13">
        <v>127</v>
      </c>
      <c r="J5" s="13">
        <v>126</v>
      </c>
      <c r="K5" s="18">
        <f t="shared" ref="K5:K7" si="0">+I5-J5</f>
        <v>1</v>
      </c>
      <c r="L5" s="13">
        <v>3</v>
      </c>
      <c r="M5" s="13">
        <v>3</v>
      </c>
      <c r="N5" s="18">
        <f t="shared" ref="N5:N7" si="1">+L5-M5</f>
        <v>0</v>
      </c>
      <c r="O5" s="13">
        <v>0.65</v>
      </c>
      <c r="P5" s="13">
        <v>0.2</v>
      </c>
      <c r="Q5" s="13" t="s">
        <v>31</v>
      </c>
      <c r="R5" s="13" t="s">
        <v>32</v>
      </c>
      <c r="S5" s="13" t="s">
        <v>33</v>
      </c>
      <c r="T5" s="13" t="s">
        <v>32</v>
      </c>
      <c r="U5" s="13" t="s">
        <v>34</v>
      </c>
      <c r="V5" s="13">
        <v>1.2</v>
      </c>
      <c r="W5" s="13" t="s">
        <v>35</v>
      </c>
    </row>
    <row r="6" spans="1:23" x14ac:dyDescent="0.25">
      <c r="A6" s="8" t="s">
        <v>28</v>
      </c>
      <c r="B6" s="9">
        <v>3</v>
      </c>
      <c r="C6" s="8" t="s">
        <v>38</v>
      </c>
      <c r="D6" s="21">
        <v>43483</v>
      </c>
      <c r="E6" s="13" t="s">
        <v>39</v>
      </c>
      <c r="F6" s="13">
        <v>8.25</v>
      </c>
      <c r="G6" s="13">
        <v>49670</v>
      </c>
      <c r="H6" s="13">
        <v>32.5</v>
      </c>
      <c r="I6" s="13">
        <v>128</v>
      </c>
      <c r="J6" s="13">
        <v>112</v>
      </c>
      <c r="K6" s="18">
        <f t="shared" si="0"/>
        <v>16</v>
      </c>
      <c r="L6" s="13">
        <v>4</v>
      </c>
      <c r="M6" s="13">
        <v>4</v>
      </c>
      <c r="N6" s="18">
        <f t="shared" si="1"/>
        <v>0</v>
      </c>
      <c r="O6" s="13">
        <v>0.95</v>
      </c>
      <c r="P6" s="13" t="s">
        <v>32</v>
      </c>
      <c r="Q6" s="13">
        <v>0.1</v>
      </c>
      <c r="R6" s="13" t="s">
        <v>32</v>
      </c>
      <c r="S6" s="13" t="s">
        <v>33</v>
      </c>
      <c r="T6" s="13" t="s">
        <v>32</v>
      </c>
      <c r="U6" s="13" t="s">
        <v>34</v>
      </c>
      <c r="V6" s="13">
        <v>1.4</v>
      </c>
      <c r="W6" s="13" t="s">
        <v>35</v>
      </c>
    </row>
    <row r="7" spans="1:23" x14ac:dyDescent="0.25">
      <c r="A7" s="8" t="s">
        <v>28</v>
      </c>
      <c r="B7" s="9">
        <v>4</v>
      </c>
      <c r="C7" s="8" t="s">
        <v>40</v>
      </c>
      <c r="D7" s="21">
        <v>43483</v>
      </c>
      <c r="E7" s="13" t="s">
        <v>41</v>
      </c>
      <c r="F7" s="13">
        <v>8.07</v>
      </c>
      <c r="G7" s="13">
        <v>42030</v>
      </c>
      <c r="H7" s="13">
        <v>27</v>
      </c>
      <c r="I7" s="13">
        <v>198</v>
      </c>
      <c r="J7" s="13">
        <v>172</v>
      </c>
      <c r="K7" s="18">
        <f t="shared" si="0"/>
        <v>26</v>
      </c>
      <c r="L7" s="13">
        <v>8</v>
      </c>
      <c r="M7" s="13">
        <v>4</v>
      </c>
      <c r="N7" s="18">
        <f t="shared" si="1"/>
        <v>4</v>
      </c>
      <c r="O7" s="13">
        <v>1.08</v>
      </c>
      <c r="P7" s="13" t="s">
        <v>32</v>
      </c>
      <c r="Q7" s="13" t="s">
        <v>31</v>
      </c>
      <c r="R7" s="13" t="s">
        <v>32</v>
      </c>
      <c r="S7" s="13" t="s">
        <v>33</v>
      </c>
      <c r="T7" s="13" t="s">
        <v>32</v>
      </c>
      <c r="U7" s="13" t="s">
        <v>34</v>
      </c>
      <c r="V7" s="13">
        <v>1</v>
      </c>
      <c r="W7" s="13">
        <v>17</v>
      </c>
    </row>
    <row r="8" spans="1:23" x14ac:dyDescent="0.25">
      <c r="A8" s="11" t="s">
        <v>42</v>
      </c>
      <c r="B8" s="12"/>
      <c r="C8" s="11" t="s">
        <v>42</v>
      </c>
      <c r="D8" s="10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pageMargins left="0.7" right="0.7" top="0.75" bottom="0.75" header="0.3" footer="0.3"/>
  <pageSetup paperSize="9" scale="59" orientation="landscape" horizontalDpi="0" verticalDpi="0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selection activeCell="D17" sqref="D17"/>
    </sheetView>
  </sheetViews>
  <sheetFormatPr defaultRowHeight="15" x14ac:dyDescent="0.25"/>
  <cols>
    <col min="4" max="4" width="19.7109375" style="27" bestFit="1" customWidth="1"/>
    <col min="5" max="5" width="23" bestFit="1" customWidth="1"/>
    <col min="6" max="7" width="12.5703125" customWidth="1"/>
    <col min="9" max="9" width="17.85546875" bestFit="1" customWidth="1"/>
    <col min="10" max="10" width="4.5703125" customWidth="1"/>
    <col min="11" max="11" width="12" bestFit="1" customWidth="1"/>
    <col min="13" max="13" width="18.5703125" customWidth="1"/>
    <col min="15" max="15" width="14.5703125" customWidth="1"/>
    <col min="16" max="16" width="13.28515625" customWidth="1"/>
    <col min="18" max="18" width="11.42578125" bestFit="1" customWidth="1"/>
    <col min="19" max="19" width="20.85546875" customWidth="1"/>
    <col min="21" max="21" width="13.7109375" bestFit="1" customWidth="1"/>
    <col min="22" max="22" width="13.42578125" bestFit="1" customWidth="1"/>
    <col min="23" max="23" width="15" bestFit="1" customWidth="1"/>
    <col min="24" max="24" width="13.42578125" bestFit="1" customWidth="1"/>
    <col min="25" max="25" width="10.42578125" bestFit="1" customWidth="1"/>
    <col min="26" max="26" width="12.28515625" bestFit="1" customWidth="1"/>
  </cols>
  <sheetData>
    <row r="1" spans="1:26" x14ac:dyDescent="0.25">
      <c r="A1" s="1" t="s">
        <v>0</v>
      </c>
      <c r="B1" s="2" t="s">
        <v>3</v>
      </c>
      <c r="C1" s="2" t="s">
        <v>3</v>
      </c>
      <c r="D1" s="2" t="s">
        <v>3</v>
      </c>
      <c r="E1" s="2" t="s">
        <v>6</v>
      </c>
    </row>
    <row r="2" spans="1:26" x14ac:dyDescent="0.25">
      <c r="A2" s="4"/>
      <c r="B2" s="6" t="s">
        <v>5</v>
      </c>
      <c r="C2" s="6" t="s">
        <v>2</v>
      </c>
      <c r="D2" s="6" t="s">
        <v>4</v>
      </c>
      <c r="E2" s="6"/>
      <c r="F2" s="23" t="s">
        <v>45</v>
      </c>
      <c r="G2" s="25"/>
      <c r="H2" s="25"/>
      <c r="I2" s="20"/>
      <c r="J2" s="29"/>
      <c r="K2" s="22" t="s">
        <v>46</v>
      </c>
      <c r="L2" s="24"/>
      <c r="M2" s="19"/>
      <c r="N2" s="28"/>
      <c r="O2" s="22" t="s">
        <v>47</v>
      </c>
      <c r="P2" s="19"/>
      <c r="Q2" s="29"/>
      <c r="R2" s="22" t="s">
        <v>48</v>
      </c>
      <c r="S2" s="19"/>
      <c r="T2" s="29"/>
      <c r="U2" s="22" t="s">
        <v>49</v>
      </c>
      <c r="V2" s="24"/>
      <c r="W2" s="24"/>
      <c r="X2" s="24"/>
      <c r="Y2" s="24"/>
      <c r="Z2" s="19"/>
    </row>
    <row r="3" spans="1:26" x14ac:dyDescent="0.25">
      <c r="A3" s="4" t="s">
        <v>1</v>
      </c>
      <c r="B3" s="5"/>
      <c r="C3" s="5"/>
      <c r="D3" s="5"/>
      <c r="E3" s="6"/>
      <c r="F3" s="54" t="s">
        <v>50</v>
      </c>
      <c r="G3" s="55" t="s">
        <v>51</v>
      </c>
      <c r="H3" s="55" t="s">
        <v>52</v>
      </c>
      <c r="I3" s="56" t="s">
        <v>53</v>
      </c>
      <c r="J3" s="26"/>
      <c r="K3" s="33" t="s">
        <v>54</v>
      </c>
      <c r="L3" s="34"/>
      <c r="M3" s="35"/>
      <c r="N3" s="26"/>
      <c r="O3" s="33" t="s">
        <v>55</v>
      </c>
      <c r="P3" s="35"/>
      <c r="Q3" s="26"/>
      <c r="R3" s="30" t="s">
        <v>56</v>
      </c>
      <c r="S3" s="31"/>
      <c r="T3" s="26"/>
      <c r="U3" s="57" t="s">
        <v>57</v>
      </c>
      <c r="V3" s="58" t="s">
        <v>58</v>
      </c>
      <c r="W3" s="58" t="s">
        <v>59</v>
      </c>
      <c r="X3" s="58" t="s">
        <v>60</v>
      </c>
      <c r="Y3" s="58" t="s">
        <v>61</v>
      </c>
      <c r="Z3" s="59" t="s">
        <v>62</v>
      </c>
    </row>
    <row r="4" spans="1:26" s="26" customFormat="1" x14ac:dyDescent="0.25">
      <c r="A4" s="6"/>
      <c r="B4" s="5"/>
      <c r="C4" s="5"/>
      <c r="D4" s="5"/>
      <c r="E4" s="6"/>
      <c r="F4" s="45" t="s">
        <v>19</v>
      </c>
      <c r="G4" s="46" t="s">
        <v>19</v>
      </c>
      <c r="H4" s="46" t="s">
        <v>19</v>
      </c>
      <c r="I4" s="47" t="s">
        <v>19</v>
      </c>
      <c r="K4" s="45" t="s">
        <v>19</v>
      </c>
      <c r="L4" s="34"/>
      <c r="M4" s="35"/>
      <c r="O4" s="45" t="s">
        <v>19</v>
      </c>
      <c r="P4" s="35"/>
      <c r="R4" s="45" t="s">
        <v>19</v>
      </c>
      <c r="S4" s="31"/>
      <c r="U4" s="45" t="s">
        <v>19</v>
      </c>
      <c r="V4" s="46" t="s">
        <v>19</v>
      </c>
      <c r="W4" s="46" t="s">
        <v>19</v>
      </c>
      <c r="X4" s="46" t="s">
        <v>19</v>
      </c>
      <c r="Y4" s="46" t="s">
        <v>19</v>
      </c>
      <c r="Z4" s="47" t="s">
        <v>19</v>
      </c>
    </row>
    <row r="5" spans="1:26" x14ac:dyDescent="0.25">
      <c r="A5" s="8" t="s">
        <v>28</v>
      </c>
      <c r="B5" s="9">
        <v>1</v>
      </c>
      <c r="C5" s="8" t="s">
        <v>29</v>
      </c>
      <c r="D5" s="21">
        <v>43483</v>
      </c>
      <c r="E5" s="13" t="s">
        <v>30</v>
      </c>
      <c r="F5" s="45" t="s">
        <v>63</v>
      </c>
      <c r="G5" s="46" t="s">
        <v>63</v>
      </c>
      <c r="H5" s="46" t="s">
        <v>64</v>
      </c>
      <c r="I5" s="47" t="s">
        <v>64</v>
      </c>
      <c r="J5" s="26"/>
      <c r="K5" s="33" t="s">
        <v>64</v>
      </c>
      <c r="L5" s="34"/>
      <c r="M5" s="35"/>
      <c r="N5" s="26"/>
      <c r="O5" s="33" t="s">
        <v>63</v>
      </c>
      <c r="P5" s="35"/>
      <c r="Q5" s="26"/>
      <c r="R5" s="40" t="s">
        <v>65</v>
      </c>
      <c r="S5" s="31"/>
      <c r="T5" s="26"/>
      <c r="U5" s="42" t="s">
        <v>64</v>
      </c>
      <c r="V5" s="43" t="s">
        <v>64</v>
      </c>
      <c r="W5" s="43" t="s">
        <v>64</v>
      </c>
      <c r="X5" s="43" t="s">
        <v>64</v>
      </c>
      <c r="Y5" s="43" t="s">
        <v>64</v>
      </c>
      <c r="Z5" s="44" t="s">
        <v>64</v>
      </c>
    </row>
    <row r="6" spans="1:26" x14ac:dyDescent="0.25">
      <c r="A6" s="8" t="s">
        <v>28</v>
      </c>
      <c r="B6" s="9">
        <v>2</v>
      </c>
      <c r="C6" s="8" t="s">
        <v>36</v>
      </c>
      <c r="D6" s="21">
        <v>43483</v>
      </c>
      <c r="E6" s="13" t="s">
        <v>37</v>
      </c>
      <c r="F6" s="45" t="s">
        <v>63</v>
      </c>
      <c r="G6" s="46" t="s">
        <v>63</v>
      </c>
      <c r="H6" s="46" t="s">
        <v>64</v>
      </c>
      <c r="I6" s="47" t="s">
        <v>64</v>
      </c>
      <c r="J6" s="26"/>
      <c r="K6" s="36" t="s">
        <v>66</v>
      </c>
      <c r="L6" s="34"/>
      <c r="M6" s="35"/>
      <c r="N6" s="26"/>
      <c r="O6" s="33" t="s">
        <v>63</v>
      </c>
      <c r="P6" s="35"/>
      <c r="Q6" s="26"/>
      <c r="R6" s="40" t="s">
        <v>65</v>
      </c>
      <c r="S6" s="31"/>
      <c r="T6" s="26"/>
      <c r="U6" s="42" t="s">
        <v>64</v>
      </c>
      <c r="V6" s="43" t="s">
        <v>64</v>
      </c>
      <c r="W6" s="43" t="s">
        <v>64</v>
      </c>
      <c r="X6" s="43" t="s">
        <v>64</v>
      </c>
      <c r="Y6" s="43" t="s">
        <v>64</v>
      </c>
      <c r="Z6" s="44" t="s">
        <v>64</v>
      </c>
    </row>
    <row r="7" spans="1:26" x14ac:dyDescent="0.25">
      <c r="A7" s="8" t="s">
        <v>28</v>
      </c>
      <c r="B7" s="9">
        <v>3</v>
      </c>
      <c r="C7" s="8" t="s">
        <v>38</v>
      </c>
      <c r="D7" s="21">
        <v>43483</v>
      </c>
      <c r="E7" s="13" t="s">
        <v>39</v>
      </c>
      <c r="F7" s="45" t="s">
        <v>63</v>
      </c>
      <c r="G7" s="46" t="s">
        <v>63</v>
      </c>
      <c r="H7" s="46" t="s">
        <v>64</v>
      </c>
      <c r="I7" s="47" t="s">
        <v>64</v>
      </c>
      <c r="J7" s="26"/>
      <c r="K7" s="33" t="s">
        <v>64</v>
      </c>
      <c r="L7" s="34"/>
      <c r="M7" s="35"/>
      <c r="N7" s="26"/>
      <c r="O7" s="33" t="s">
        <v>63</v>
      </c>
      <c r="P7" s="35"/>
      <c r="Q7" s="26"/>
      <c r="R7" s="40" t="s">
        <v>67</v>
      </c>
      <c r="S7" s="31"/>
      <c r="T7" s="26"/>
      <c r="U7" s="42" t="s">
        <v>64</v>
      </c>
      <c r="V7" s="43" t="s">
        <v>64</v>
      </c>
      <c r="W7" s="43" t="s">
        <v>64</v>
      </c>
      <c r="X7" s="43" t="s">
        <v>64</v>
      </c>
      <c r="Y7" s="43" t="s">
        <v>64</v>
      </c>
      <c r="Z7" s="44" t="s">
        <v>64</v>
      </c>
    </row>
    <row r="8" spans="1:26" x14ac:dyDescent="0.25">
      <c r="A8" s="8" t="s">
        <v>28</v>
      </c>
      <c r="B8" s="9">
        <v>4</v>
      </c>
      <c r="C8" s="8" t="s">
        <v>40</v>
      </c>
      <c r="D8" s="21">
        <v>43483</v>
      </c>
      <c r="E8" s="13" t="s">
        <v>41</v>
      </c>
      <c r="F8" s="48" t="s">
        <v>63</v>
      </c>
      <c r="G8" s="49" t="s">
        <v>63</v>
      </c>
      <c r="H8" s="49" t="s">
        <v>64</v>
      </c>
      <c r="I8" s="50" t="s">
        <v>64</v>
      </c>
      <c r="J8" s="26"/>
      <c r="K8" s="37" t="s">
        <v>64</v>
      </c>
      <c r="L8" s="38"/>
      <c r="M8" s="39"/>
      <c r="N8" s="26"/>
      <c r="O8" s="37" t="s">
        <v>63</v>
      </c>
      <c r="P8" s="39"/>
      <c r="Q8" s="26"/>
      <c r="R8" s="41" t="s">
        <v>68</v>
      </c>
      <c r="S8" s="32"/>
      <c r="T8" s="26"/>
      <c r="U8" s="51" t="s">
        <v>64</v>
      </c>
      <c r="V8" s="52" t="s">
        <v>64</v>
      </c>
      <c r="W8" s="52" t="s">
        <v>64</v>
      </c>
      <c r="X8" s="52" t="s">
        <v>64</v>
      </c>
      <c r="Y8" s="52" t="s">
        <v>64</v>
      </c>
      <c r="Z8" s="53" t="s">
        <v>64</v>
      </c>
    </row>
  </sheetData>
  <mergeCells count="5">
    <mergeCell ref="F2:I2"/>
    <mergeCell ref="K2:M2"/>
    <mergeCell ref="O2:P2"/>
    <mergeCell ref="R2:S2"/>
    <mergeCell ref="U2:Z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78951-231D-4F30-898C-C9EBB9445592}"/>
</file>

<file path=customXml/itemProps2.xml><?xml version="1.0" encoding="utf-8"?>
<ds:datastoreItem xmlns:ds="http://schemas.openxmlformats.org/officeDocument/2006/customXml" ds:itemID="{81262EF0-A4B5-4A77-AB8E-0BBD08F5E99B}"/>
</file>

<file path=customXml/itemProps3.xml><?xml version="1.0" encoding="utf-8"?>
<ds:datastoreItem xmlns:ds="http://schemas.openxmlformats.org/officeDocument/2006/customXml" ds:itemID="{D417D96C-C59E-43BB-A35E-8D924FBD42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2019-03-11T07:01:09Z</cp:lastPrinted>
  <dcterms:created xsi:type="dcterms:W3CDTF">2019-03-11T06:38:33Z</dcterms:created>
  <dcterms:modified xsi:type="dcterms:W3CDTF">2019-03-11T07:01:34Z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
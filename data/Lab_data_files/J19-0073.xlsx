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9015" windowHeight="10035"/>
  </bookViews>
  <sheets>
    <sheet name="Lims1 Results 16" sheetId="1" r:id="rId1"/>
    <sheet name="PESTICI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4" i="1"/>
  <c r="K5" i="1"/>
  <c r="K6" i="1"/>
  <c r="K7" i="1"/>
  <c r="K8" i="1"/>
  <c r="K9" i="1"/>
  <c r="K10" i="1"/>
  <c r="K11" i="1"/>
  <c r="K12" i="1"/>
  <c r="K13" i="1"/>
  <c r="K14" i="1"/>
  <c r="K4" i="1"/>
</calcChain>
</file>

<file path=xl/sharedStrings.xml><?xml version="1.0" encoding="utf-8"?>
<sst xmlns="http://schemas.openxmlformats.org/spreadsheetml/2006/main" count="384" uniqueCount="106">
  <si>
    <t>Reference</t>
  </si>
  <si>
    <t>Units</t>
  </si>
  <si>
    <t>Sample</t>
  </si>
  <si>
    <t>Date</t>
  </si>
  <si>
    <t>No.</t>
  </si>
  <si>
    <t>Bottle ID for Sample Bottle</t>
  </si>
  <si>
    <t>pH</t>
  </si>
  <si>
    <t>Electrical Conductivity</t>
  </si>
  <si>
    <t>µS/cm</t>
  </si>
  <si>
    <t>Salinity</t>
  </si>
  <si>
    <t>PSU</t>
  </si>
  <si>
    <t>Total Suspended Solids</t>
  </si>
  <si>
    <t>mg/L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</si>
  <si>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</si>
  <si>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</si>
  <si>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</si>
  <si>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</si>
  <si>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</si>
  <si>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</si>
  <si>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Silver UT</t>
  </si>
  <si>
    <t>µg/L</t>
  </si>
  <si>
    <t>Cadmium UT</t>
  </si>
  <si>
    <t>Copper UT</t>
  </si>
  <si>
    <t>Lead UT</t>
  </si>
  <si>
    <t>Nickel UT</t>
  </si>
  <si>
    <t>Arsenic UT</t>
  </si>
  <si>
    <t>Zinc UT</t>
  </si>
  <si>
    <t>Mercury</t>
  </si>
  <si>
    <t>Dissolved</t>
  </si>
  <si>
    <t>Chlorophyll-a</t>
  </si>
  <si>
    <t>Phaeophytin a</t>
  </si>
  <si>
    <t>Oxidized Nitrogen</t>
  </si>
  <si>
    <t>J19-0073</t>
  </si>
  <si>
    <t/>
  </si>
  <si>
    <t>MKY_AMB 1</t>
  </si>
  <si>
    <t>&lt;0.1</t>
  </si>
  <si>
    <t>&lt;0.2</t>
  </si>
  <si>
    <t>&lt;1</t>
  </si>
  <si>
    <t>&lt;0.5</t>
  </si>
  <si>
    <t>&lt;5</t>
  </si>
  <si>
    <t>&lt;0.0001</t>
  </si>
  <si>
    <t>MKY_AMB 2</t>
  </si>
  <si>
    <t>MKY_AMB 3B</t>
  </si>
  <si>
    <t>MKY_AMB 5</t>
  </si>
  <si>
    <t>MKY_AMB 6B</t>
  </si>
  <si>
    <t>MKY_AMB 8</t>
  </si>
  <si>
    <t>MKY_AMB 10</t>
  </si>
  <si>
    <t>MKY_AMB 12</t>
  </si>
  <si>
    <t>MKY_CAM 1</t>
  </si>
  <si>
    <t>MKY_CAM 2</t>
  </si>
  <si>
    <t>MKY_CAM 3</t>
  </si>
  <si>
    <t>PN</t>
  </si>
  <si>
    <t>PP</t>
  </si>
  <si>
    <t>&lt;0.0002</t>
  </si>
  <si>
    <t>0.0008</t>
  </si>
  <si>
    <t>0.0019</t>
  </si>
  <si>
    <t>0.0005</t>
  </si>
  <si>
    <t>&lt;0.001</t>
  </si>
  <si>
    <t>0.0022</t>
  </si>
  <si>
    <t>0.0051</t>
  </si>
  <si>
    <t>0.0053</t>
  </si>
  <si>
    <t>0.0013</t>
  </si>
  <si>
    <t>0.0093</t>
  </si>
  <si>
    <t>0.0004</t>
  </si>
  <si>
    <t>0.0179</t>
  </si>
  <si>
    <t>0.0073</t>
  </si>
  <si>
    <t>0.0014</t>
  </si>
  <si>
    <t>0.0130</t>
  </si>
  <si>
    <t>0.0010</t>
  </si>
  <si>
    <t>0.0081</t>
  </si>
  <si>
    <t>0.0002</t>
  </si>
  <si>
    <t>0.0181</t>
  </si>
  <si>
    <t>0.0043</t>
  </si>
  <si>
    <t>0.0018</t>
  </si>
  <si>
    <t>0.0015</t>
  </si>
  <si>
    <t>Terbutryn</t>
  </si>
  <si>
    <t>Terbuthylazine</t>
  </si>
  <si>
    <t>Simazine</t>
  </si>
  <si>
    <t>Propazine</t>
  </si>
  <si>
    <t>Prometryn</t>
  </si>
  <si>
    <t>Cyanazine</t>
  </si>
  <si>
    <t>Atrazine</t>
  </si>
  <si>
    <t>Ametryn</t>
  </si>
  <si>
    <t>Diuron</t>
  </si>
  <si>
    <t>Penconazole</t>
  </si>
  <si>
    <t>Flusilazole</t>
  </si>
  <si>
    <t>Tebuconazole</t>
  </si>
  <si>
    <t>Difenoconazole</t>
  </si>
  <si>
    <t>Hexaconazole</t>
  </si>
  <si>
    <t>Propiconazole</t>
  </si>
  <si>
    <t>Hexazinone</t>
  </si>
  <si>
    <t>Pendimethalin</t>
  </si>
  <si>
    <t>Thiobencarb</t>
  </si>
  <si>
    <t>Pirimiphos-methyl</t>
  </si>
  <si>
    <t>Diazinon</t>
  </si>
  <si>
    <t>Malathion</t>
  </si>
  <si>
    <t>Chlorpyrifos</t>
  </si>
  <si>
    <t>EP234H: Triazine Herbicides</t>
  </si>
  <si>
    <t>EP234F: Phenylurea, Thizdiazolurea, Uracil and Sulfonylurea Herbicides</t>
  </si>
  <si>
    <t>EP234E: Conazole and Aminopyrimidine Fungicides</t>
  </si>
  <si>
    <t>EP234D: Triazinone Herbicides</t>
  </si>
  <si>
    <t>EP234C: Dinitroanilines</t>
  </si>
  <si>
    <t>EP234B: Thiocarbamates and Carbamates</t>
  </si>
  <si>
    <t>EP234A: OP Pesticides</t>
  </si>
  <si>
    <t>MKY_AMB 3B *</t>
  </si>
  <si>
    <t>*Bottle Cracked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</si>
</sst>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4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  <font>
      <b/>
      <sz val="10"/>
      <name val="Arial"/>
    </font>
    <font>
      <b/>
      <i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0" borderId="7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0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/>
    <xf numFmtId="0" fontId="0" fillId="0" borderId="0" xfId="0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0" fontId="0" fillId="0" borderId="10" xfId="0" applyBorder="1"/>
    <xf numFmtId="0" fontId="0" fillId="0" borderId="9" xfId="0" applyBorder="1"/>
    <xf numFmtId="0" fontId="2" fillId="0" borderId="9" xfId="0" applyNumberFormat="1" applyFont="1" applyFill="1" applyBorder="1" applyAlignment="1" applyProtection="1"/>
    <xf numFmtId="0" fontId="0" fillId="0" borderId="11" xfId="0" applyBorder="1"/>
    <xf numFmtId="0" fontId="2" fillId="0" borderId="12" xfId="0" applyNumberFormat="1" applyFont="1" applyFill="1" applyBorder="1" applyAlignment="1" applyProtection="1"/>
    <xf numFmtId="0" fontId="0" fillId="0" borderId="12" xfId="0" applyBorder="1"/>
    <xf numFmtId="0" fontId="0" fillId="0" borderId="3" xfId="0" applyBorder="1"/>
    <xf numFmtId="0" fontId="0" fillId="0" borderId="0" xfId="0" applyBorder="1"/>
    <xf numFmtId="0" fontId="2" fillId="0" borderId="0" xfId="0" applyNumberFormat="1" applyFont="1" applyFill="1" applyBorder="1" applyAlignment="1" applyProtection="1"/>
    <xf numFmtId="0" fontId="0" fillId="0" borderId="6" xfId="0" applyBorder="1"/>
    <xf numFmtId="0" fontId="2" fillId="0" borderId="13" xfId="0" applyNumberFormat="1" applyFont="1" applyFill="1" applyBorder="1" applyAlignment="1" applyProtection="1"/>
    <xf numFmtId="0" fontId="0" fillId="0" borderId="13" xfId="0" applyBorder="1"/>
    <xf numFmtId="0" fontId="2" fillId="0" borderId="6" xfId="0" applyNumberFormat="1" applyFont="1" applyFill="1" applyBorder="1" applyAlignment="1" applyProtection="1"/>
    <xf numFmtId="0" fontId="0" fillId="0" borderId="14" xfId="0" applyBorder="1"/>
    <xf numFmtId="0" fontId="0" fillId="0" borderId="1" xfId="0" applyBorder="1"/>
    <xf numFmtId="0" fontId="3" fillId="4" borderId="15" xfId="0" applyNumberFormat="1" applyFont="1" applyFill="1" applyBorder="1" applyAlignment="1" applyProtection="1"/>
    <xf numFmtId="0" fontId="3" fillId="4" borderId="14" xfId="0" applyNumberFormat="1" applyFont="1" applyFill="1" applyBorder="1" applyAlignment="1" applyProtection="1">
      <alignment horizontal="center"/>
    </xf>
    <xf numFmtId="0" fontId="3" fillId="4" borderId="1" xfId="0" applyNumberFormat="1" applyFont="1" applyFill="1" applyBorder="1" applyAlignment="1" applyProtection="1">
      <alignment horizontal="center"/>
    </xf>
    <xf numFmtId="0" fontId="3" fillId="4" borderId="16" xfId="0" applyNumberFormat="1" applyFont="1" applyFill="1" applyBorder="1" applyAlignment="1" applyProtection="1">
      <alignment horizontal="center"/>
    </xf>
    <xf numFmtId="0" fontId="2" fillId="5" borderId="6" xfId="0" applyNumberFormat="1" applyFont="1" applyFill="1" applyBorder="1" applyAlignment="1" applyProtection="1"/>
    <xf numFmtId="0" fontId="2" fillId="5" borderId="0" xfId="0" applyNumberFormat="1" applyFont="1" applyFill="1" applyBorder="1" applyAlignment="1" applyProtection="1"/>
    <xf numFmtId="0" fontId="0" fillId="5" borderId="3" xfId="0" applyFill="1" applyBorder="1"/>
    <xf numFmtId="0" fontId="0" fillId="5" borderId="0" xfId="0" applyFill="1"/>
    <xf numFmtId="0" fontId="2" fillId="5" borderId="13" xfId="0" applyNumberFormat="1" applyFont="1" applyFill="1" applyBorder="1" applyAlignment="1" applyProtection="1"/>
    <xf numFmtId="0" fontId="2" fillId="5" borderId="3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5"/>
  <sheetViews>
    <sheetView tabSelected="1" workbookViewId="0">
      <selection activeCell="F11" sqref="F11"/>
    </sheetView>
  </sheetViews>
  <sheetFormatPr defaultRowHeight="15" x14ac:dyDescent="0.25"/>
  <cols>
    <col min="2" max="2" width="9.28515625" bestFit="1" customWidth="1"/>
    <col min="3" max="3" width="22.5703125" bestFit="1" customWidth="1"/>
    <col min="4" max="4" width="23" bestFit="1" customWidth="1"/>
    <col min="5" max="5" width="20.42578125" style="19" bestFit="1" customWidth="1"/>
    <col min="6" max="6" width="9.28515625" style="19" bestFit="1" customWidth="1"/>
    <col min="7" max="7" width="18.85546875" style="19" bestFit="1" customWidth="1"/>
    <col min="8" max="8" width="9.28515625" style="19" bestFit="1" customWidth="1"/>
    <col min="9" max="9" width="12.5703125" style="19" bestFit="1" customWidth="1"/>
    <col min="10" max="10" width="21" style="19" bestFit="1" customWidth="1"/>
    <col min="11" max="11" width="21" style="19" customWidth="1"/>
    <col min="12" max="12" width="15.42578125" style="19" bestFit="1" customWidth="1"/>
    <col min="13" max="13" width="15.28515625" style="19" bestFit="1" customWidth="1"/>
    <col min="14" max="14" width="23.7109375" style="19" bestFit="1" customWidth="1"/>
    <col min="15" max="15" width="15.28515625" style="16" customWidth="1"/>
    <col min="16" max="17" width="9.28515625" style="19" bestFit="1" customWidth="1"/>
    <col min="18" max="18" width="9.140625" style="19"/>
    <col min="19" max="19" width="11.5703125" style="19" bestFit="1" customWidth="1"/>
    <col min="20" max="21" width="9.28515625" style="19" bestFit="1" customWidth="1"/>
    <col min="22" max="22" width="9.140625" style="19"/>
    <col min="23" max="23" width="9.28515625" style="19" bestFit="1" customWidth="1"/>
    <col min="24" max="25" width="9.140625" style="19"/>
  </cols>
  <sheetData>
    <row r="1" spans="1:25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11</v>
      </c>
      <c r="F1" s="2" t="s">
        <v>6</v>
      </c>
      <c r="G1" s="2" t="s">
        <v>7</v>
      </c>
      <c r="H1" s="2" t="s">
        <v>9</v>
      </c>
      <c r="I1" s="2" t="s">
        <v>15</v>
      </c>
      <c r="J1" s="2" t="s">
        <v>13</v>
      </c>
      <c r="K1" s="20" t="s">
        <v>51</v>
      </c>
      <c r="L1" s="3" t="s">
        <v>31</v>
      </c>
      <c r="M1" s="2" t="s">
        <v>18</v>
      </c>
      <c r="N1" s="2" t="s">
        <v>16</v>
      </c>
      <c r="O1" s="21" t="s">
        <v>52</v>
      </c>
      <c r="P1" s="2" t="s">
        <v>29</v>
      </c>
      <c r="Q1" s="2" t="s">
        <v>30</v>
      </c>
      <c r="R1" s="2" t="s">
        <v>19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</row>
    <row r="2" spans="1:25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21"/>
      <c r="L2" s="7"/>
      <c r="M2" s="6"/>
      <c r="N2" s="6"/>
      <c r="O2" s="21"/>
      <c r="P2" s="6"/>
      <c r="Q2" s="6"/>
      <c r="R2" s="6"/>
      <c r="S2" s="6"/>
      <c r="T2" s="6"/>
      <c r="U2" s="6"/>
      <c r="V2" s="6"/>
      <c r="W2" s="6"/>
      <c r="X2" s="6"/>
      <c r="Y2" s="6" t="s">
        <v>28</v>
      </c>
    </row>
    <row r="3" spans="1:25" x14ac:dyDescent="0.25">
      <c r="A3" s="4" t="s">
        <v>1</v>
      </c>
      <c r="B3" s="5"/>
      <c r="C3" s="5"/>
      <c r="D3" s="6"/>
      <c r="E3" s="6" t="s">
        <v>12</v>
      </c>
      <c r="F3" s="6"/>
      <c r="G3" s="6" t="s">
        <v>8</v>
      </c>
      <c r="H3" s="6" t="s">
        <v>10</v>
      </c>
      <c r="I3" s="6" t="s">
        <v>14</v>
      </c>
      <c r="J3" s="6" t="s">
        <v>14</v>
      </c>
      <c r="K3" s="21" t="s">
        <v>14</v>
      </c>
      <c r="L3" s="7" t="s">
        <v>14</v>
      </c>
      <c r="M3" s="6" t="s">
        <v>17</v>
      </c>
      <c r="N3" s="6" t="s">
        <v>17</v>
      </c>
      <c r="O3" s="21" t="s">
        <v>17</v>
      </c>
      <c r="P3" s="6" t="s">
        <v>20</v>
      </c>
      <c r="Q3" s="6" t="s">
        <v>20</v>
      </c>
      <c r="R3" s="6" t="s">
        <v>20</v>
      </c>
      <c r="S3" s="6" t="s">
        <v>20</v>
      </c>
      <c r="T3" s="6" t="s">
        <v>20</v>
      </c>
      <c r="U3" s="6" t="s">
        <v>20</v>
      </c>
      <c r="V3" s="6" t="s">
        <v>20</v>
      </c>
      <c r="W3" s="6" t="s">
        <v>20</v>
      </c>
      <c r="X3" s="6"/>
      <c r="Y3" s="6" t="s">
        <v>12</v>
      </c>
    </row>
    <row r="4" spans="1:25" x14ac:dyDescent="0.25">
      <c r="A4" s="8" t="s">
        <v>32</v>
      </c>
      <c r="B4" s="9">
        <v>1</v>
      </c>
      <c r="C4" s="15">
        <v>43538</v>
      </c>
      <c r="D4" s="10" t="s">
        <v>34</v>
      </c>
      <c r="E4" s="17">
        <v>3.4</v>
      </c>
      <c r="F4" s="17">
        <v>8.23</v>
      </c>
      <c r="G4" s="17">
        <v>54070</v>
      </c>
      <c r="H4" s="17">
        <v>35.700000000000003</v>
      </c>
      <c r="I4" s="17">
        <v>111</v>
      </c>
      <c r="J4" s="17">
        <v>93</v>
      </c>
      <c r="K4" s="22">
        <f>+I4-J4</f>
        <v>18</v>
      </c>
      <c r="L4" s="18"/>
      <c r="M4" s="17">
        <v>11</v>
      </c>
      <c r="N4" s="17">
        <v>9</v>
      </c>
      <c r="O4" s="21">
        <f>+M4-N4</f>
        <v>2</v>
      </c>
      <c r="P4" s="17" t="s">
        <v>36</v>
      </c>
      <c r="Q4" s="17" t="s">
        <v>36</v>
      </c>
      <c r="R4" s="17" t="s">
        <v>35</v>
      </c>
      <c r="S4" s="17" t="s">
        <v>36</v>
      </c>
      <c r="T4" s="17" t="s">
        <v>37</v>
      </c>
      <c r="U4" s="17" t="s">
        <v>36</v>
      </c>
      <c r="V4" s="17" t="s">
        <v>38</v>
      </c>
      <c r="W4" s="17">
        <v>1.8</v>
      </c>
      <c r="X4" s="17" t="s">
        <v>39</v>
      </c>
      <c r="Y4" s="17" t="s">
        <v>40</v>
      </c>
    </row>
    <row r="5" spans="1:25" x14ac:dyDescent="0.25">
      <c r="A5" s="8" t="s">
        <v>32</v>
      </c>
      <c r="B5" s="9">
        <v>2</v>
      </c>
      <c r="C5" s="15">
        <v>43538</v>
      </c>
      <c r="D5" s="10" t="s">
        <v>41</v>
      </c>
      <c r="E5" s="17">
        <v>2.7</v>
      </c>
      <c r="F5" s="17">
        <v>8.2200000000000006</v>
      </c>
      <c r="G5" s="17">
        <v>52840</v>
      </c>
      <c r="H5" s="17">
        <v>34.799999999999997</v>
      </c>
      <c r="I5" s="17">
        <v>133</v>
      </c>
      <c r="J5" s="17">
        <v>92</v>
      </c>
      <c r="K5" s="22">
        <f t="shared" ref="K5:K14" si="0">+I5-J5</f>
        <v>41</v>
      </c>
      <c r="L5" s="18"/>
      <c r="M5" s="17">
        <v>12</v>
      </c>
      <c r="N5" s="17">
        <v>11</v>
      </c>
      <c r="O5" s="21">
        <f t="shared" ref="O5:O14" si="1">+M5-N5</f>
        <v>1</v>
      </c>
      <c r="P5" s="17">
        <v>0.55000000000000004</v>
      </c>
      <c r="Q5" s="17">
        <v>0.26</v>
      </c>
      <c r="R5" s="17" t="s">
        <v>35</v>
      </c>
      <c r="S5" s="17" t="s">
        <v>36</v>
      </c>
      <c r="T5" s="17">
        <v>3</v>
      </c>
      <c r="U5" s="17">
        <v>0.2</v>
      </c>
      <c r="V5" s="17" t="s">
        <v>38</v>
      </c>
      <c r="W5" s="17">
        <v>1.7</v>
      </c>
      <c r="X5" s="17" t="s">
        <v>39</v>
      </c>
      <c r="Y5" s="17" t="s">
        <v>40</v>
      </c>
    </row>
    <row r="6" spans="1:25" x14ac:dyDescent="0.25">
      <c r="A6" s="8" t="s">
        <v>32</v>
      </c>
      <c r="B6" s="9">
        <v>3</v>
      </c>
      <c r="C6" s="15">
        <v>43540</v>
      </c>
      <c r="D6" s="10" t="s">
        <v>42</v>
      </c>
      <c r="E6" s="17">
        <v>5.6</v>
      </c>
      <c r="F6" s="17">
        <v>8.1999999999999993</v>
      </c>
      <c r="G6" s="17">
        <v>55340</v>
      </c>
      <c r="H6" s="17">
        <v>36.700000000000003</v>
      </c>
      <c r="I6" s="17">
        <v>163</v>
      </c>
      <c r="J6" s="17">
        <v>96</v>
      </c>
      <c r="K6" s="22">
        <f t="shared" si="0"/>
        <v>67</v>
      </c>
      <c r="L6" s="18"/>
      <c r="M6" s="17">
        <v>11</v>
      </c>
      <c r="N6" s="17">
        <v>9</v>
      </c>
      <c r="O6" s="21">
        <f t="shared" si="1"/>
        <v>2</v>
      </c>
      <c r="P6" s="17">
        <v>0.23</v>
      </c>
      <c r="Q6" s="17">
        <v>0.21</v>
      </c>
      <c r="R6" s="17" t="s">
        <v>35</v>
      </c>
      <c r="S6" s="17" t="s">
        <v>36</v>
      </c>
      <c r="T6" s="17" t="s">
        <v>37</v>
      </c>
      <c r="U6" s="17" t="s">
        <v>36</v>
      </c>
      <c r="V6" s="17" t="s">
        <v>38</v>
      </c>
      <c r="W6" s="17">
        <v>1.8</v>
      </c>
      <c r="X6" s="17" t="s">
        <v>39</v>
      </c>
      <c r="Y6" s="17" t="s">
        <v>40</v>
      </c>
    </row>
    <row r="7" spans="1:25" x14ac:dyDescent="0.25">
      <c r="A7" s="8" t="s">
        <v>32</v>
      </c>
      <c r="B7" s="9">
        <v>4</v>
      </c>
      <c r="C7" s="15">
        <v>43539</v>
      </c>
      <c r="D7" s="10" t="s">
        <v>43</v>
      </c>
      <c r="E7" s="17">
        <v>3.1</v>
      </c>
      <c r="F7" s="17">
        <v>8.2100000000000009</v>
      </c>
      <c r="G7" s="17">
        <v>53880</v>
      </c>
      <c r="H7" s="17">
        <v>35.6</v>
      </c>
      <c r="I7" s="17">
        <v>130</v>
      </c>
      <c r="J7" s="17">
        <v>91</v>
      </c>
      <c r="K7" s="22">
        <f t="shared" si="0"/>
        <v>39</v>
      </c>
      <c r="L7" s="18"/>
      <c r="M7" s="17">
        <v>10</v>
      </c>
      <c r="N7" s="17">
        <v>9</v>
      </c>
      <c r="O7" s="21">
        <f t="shared" si="1"/>
        <v>1</v>
      </c>
      <c r="P7" s="17">
        <v>0.36</v>
      </c>
      <c r="Q7" s="17" t="s">
        <v>36</v>
      </c>
      <c r="R7" s="17" t="s">
        <v>35</v>
      </c>
      <c r="S7" s="17" t="s">
        <v>36</v>
      </c>
      <c r="T7" s="17" t="s">
        <v>37</v>
      </c>
      <c r="U7" s="17" t="s">
        <v>36</v>
      </c>
      <c r="V7" s="17" t="s">
        <v>38</v>
      </c>
      <c r="W7" s="17">
        <v>1.6</v>
      </c>
      <c r="X7" s="17" t="s">
        <v>39</v>
      </c>
      <c r="Y7" s="17" t="s">
        <v>40</v>
      </c>
    </row>
    <row r="8" spans="1:25" x14ac:dyDescent="0.25">
      <c r="A8" s="8" t="s">
        <v>32</v>
      </c>
      <c r="B8" s="9">
        <v>5</v>
      </c>
      <c r="C8" s="15">
        <v>43539</v>
      </c>
      <c r="D8" s="10" t="s">
        <v>44</v>
      </c>
      <c r="E8" s="17">
        <v>3</v>
      </c>
      <c r="F8" s="17">
        <v>8.2200000000000006</v>
      </c>
      <c r="G8" s="17">
        <v>51250</v>
      </c>
      <c r="H8" s="17">
        <v>33.700000000000003</v>
      </c>
      <c r="I8" s="17">
        <v>147</v>
      </c>
      <c r="J8" s="17">
        <v>108</v>
      </c>
      <c r="K8" s="22">
        <f t="shared" si="0"/>
        <v>39</v>
      </c>
      <c r="L8" s="18"/>
      <c r="M8" s="17">
        <v>14</v>
      </c>
      <c r="N8" s="17">
        <v>11</v>
      </c>
      <c r="O8" s="21">
        <f t="shared" si="1"/>
        <v>3</v>
      </c>
      <c r="P8" s="17">
        <v>0.33</v>
      </c>
      <c r="Q8" s="17" t="s">
        <v>36</v>
      </c>
      <c r="R8" s="17" t="s">
        <v>35</v>
      </c>
      <c r="S8" s="17" t="s">
        <v>36</v>
      </c>
      <c r="T8" s="17" t="s">
        <v>37</v>
      </c>
      <c r="U8" s="17" t="s">
        <v>36</v>
      </c>
      <c r="V8" s="17" t="s">
        <v>38</v>
      </c>
      <c r="W8" s="17">
        <v>1.6</v>
      </c>
      <c r="X8" s="17" t="s">
        <v>39</v>
      </c>
      <c r="Y8" s="17" t="s">
        <v>40</v>
      </c>
    </row>
    <row r="9" spans="1:25" x14ac:dyDescent="0.25">
      <c r="A9" s="8" t="s">
        <v>32</v>
      </c>
      <c r="B9" s="9">
        <v>6</v>
      </c>
      <c r="C9" s="15">
        <v>43539</v>
      </c>
      <c r="D9" s="10" t="s">
        <v>45</v>
      </c>
      <c r="E9" s="17">
        <v>2.2000000000000002</v>
      </c>
      <c r="F9" s="17">
        <v>8.2100000000000009</v>
      </c>
      <c r="G9" s="17">
        <v>54360</v>
      </c>
      <c r="H9" s="17">
        <v>36</v>
      </c>
      <c r="I9" s="17">
        <v>144</v>
      </c>
      <c r="J9" s="17">
        <v>98</v>
      </c>
      <c r="K9" s="22">
        <f t="shared" si="0"/>
        <v>46</v>
      </c>
      <c r="L9" s="18"/>
      <c r="M9" s="17">
        <v>10</v>
      </c>
      <c r="N9" s="17">
        <v>8</v>
      </c>
      <c r="O9" s="21">
        <f t="shared" si="1"/>
        <v>2</v>
      </c>
      <c r="P9" s="17">
        <v>0.42</v>
      </c>
      <c r="Q9" s="17">
        <v>0.22</v>
      </c>
      <c r="R9" s="17" t="s">
        <v>35</v>
      </c>
      <c r="S9" s="17" t="s">
        <v>36</v>
      </c>
      <c r="T9" s="17" t="s">
        <v>37</v>
      </c>
      <c r="U9" s="17" t="s">
        <v>36</v>
      </c>
      <c r="V9" s="17" t="s">
        <v>38</v>
      </c>
      <c r="W9" s="17">
        <v>1.8</v>
      </c>
      <c r="X9" s="17" t="s">
        <v>39</v>
      </c>
      <c r="Y9" s="17" t="s">
        <v>40</v>
      </c>
    </row>
    <row r="10" spans="1:25" x14ac:dyDescent="0.25">
      <c r="A10" s="8" t="s">
        <v>32</v>
      </c>
      <c r="B10" s="9">
        <v>7</v>
      </c>
      <c r="C10" s="15">
        <v>43538</v>
      </c>
      <c r="D10" s="10" t="s">
        <v>46</v>
      </c>
      <c r="E10" s="17">
        <v>2.6</v>
      </c>
      <c r="F10" s="17">
        <v>8.2100000000000009</v>
      </c>
      <c r="G10" s="17">
        <v>54370</v>
      </c>
      <c r="H10" s="17">
        <v>36</v>
      </c>
      <c r="I10" s="17">
        <v>111</v>
      </c>
      <c r="J10" s="17">
        <v>100</v>
      </c>
      <c r="K10" s="22">
        <f t="shared" si="0"/>
        <v>11</v>
      </c>
      <c r="L10" s="18"/>
      <c r="M10" s="17">
        <v>10</v>
      </c>
      <c r="N10" s="17">
        <v>10</v>
      </c>
      <c r="O10" s="21">
        <f t="shared" si="1"/>
        <v>0</v>
      </c>
      <c r="P10" s="17">
        <v>0.23</v>
      </c>
      <c r="Q10" s="17" t="s">
        <v>36</v>
      </c>
      <c r="R10" s="17" t="s">
        <v>35</v>
      </c>
      <c r="S10" s="17" t="s">
        <v>36</v>
      </c>
      <c r="T10" s="17" t="s">
        <v>37</v>
      </c>
      <c r="U10" s="17">
        <v>0.2</v>
      </c>
      <c r="V10" s="17" t="s">
        <v>38</v>
      </c>
      <c r="W10" s="17">
        <v>1.8</v>
      </c>
      <c r="X10" s="17" t="s">
        <v>39</v>
      </c>
      <c r="Y10" s="17" t="s">
        <v>40</v>
      </c>
    </row>
    <row r="11" spans="1:25" x14ac:dyDescent="0.25">
      <c r="A11" s="8" t="s">
        <v>32</v>
      </c>
      <c r="B11" s="9">
        <v>8</v>
      </c>
      <c r="C11" s="15">
        <v>43538</v>
      </c>
      <c r="D11" s="10" t="s">
        <v>47</v>
      </c>
      <c r="E11" s="17">
        <v>1.5</v>
      </c>
      <c r="F11" s="17">
        <v>8.2899999999999991</v>
      </c>
      <c r="G11" s="17">
        <v>54380</v>
      </c>
      <c r="H11" s="17">
        <v>36</v>
      </c>
      <c r="I11" s="17">
        <v>112</v>
      </c>
      <c r="J11" s="17">
        <v>93</v>
      </c>
      <c r="K11" s="22">
        <f t="shared" si="0"/>
        <v>19</v>
      </c>
      <c r="L11" s="17">
        <v>9</v>
      </c>
      <c r="M11" s="17">
        <v>8</v>
      </c>
      <c r="N11" s="17">
        <v>8</v>
      </c>
      <c r="O11" s="21">
        <f t="shared" si="1"/>
        <v>0</v>
      </c>
      <c r="P11" s="17">
        <v>0.26</v>
      </c>
      <c r="Q11" s="17" t="s">
        <v>36</v>
      </c>
      <c r="R11" s="17" t="s">
        <v>35</v>
      </c>
      <c r="S11" s="17" t="s">
        <v>36</v>
      </c>
      <c r="T11" s="17" t="s">
        <v>37</v>
      </c>
      <c r="U11" s="17">
        <v>0.4</v>
      </c>
      <c r="V11" s="17" t="s">
        <v>38</v>
      </c>
      <c r="W11" s="17">
        <v>2</v>
      </c>
      <c r="X11" s="17" t="s">
        <v>39</v>
      </c>
      <c r="Y11" s="17" t="s">
        <v>40</v>
      </c>
    </row>
    <row r="12" spans="1:25" x14ac:dyDescent="0.25">
      <c r="A12" s="8" t="s">
        <v>32</v>
      </c>
      <c r="B12" s="9">
        <v>9</v>
      </c>
      <c r="C12" s="15">
        <v>43537</v>
      </c>
      <c r="D12" s="10" t="s">
        <v>48</v>
      </c>
      <c r="E12" s="17">
        <v>2.2000000000000002</v>
      </c>
      <c r="F12" s="17">
        <v>8.25</v>
      </c>
      <c r="G12" s="17">
        <v>54620</v>
      </c>
      <c r="H12" s="17">
        <v>36.200000000000003</v>
      </c>
      <c r="I12" s="17">
        <v>99</v>
      </c>
      <c r="J12" s="17">
        <v>90</v>
      </c>
      <c r="K12" s="22">
        <f t="shared" si="0"/>
        <v>9</v>
      </c>
      <c r="L12" s="18"/>
      <c r="M12" s="17">
        <v>10</v>
      </c>
      <c r="N12" s="17">
        <v>8</v>
      </c>
      <c r="O12" s="21">
        <f t="shared" si="1"/>
        <v>2</v>
      </c>
      <c r="P12" s="17">
        <v>0.33</v>
      </c>
      <c r="Q12" s="17" t="s">
        <v>36</v>
      </c>
      <c r="R12" s="18"/>
      <c r="S12" s="18"/>
      <c r="T12" s="18"/>
      <c r="U12" s="18"/>
      <c r="V12" s="18"/>
      <c r="W12" s="18"/>
      <c r="X12" s="18"/>
      <c r="Y12" s="18"/>
    </row>
    <row r="13" spans="1:25" x14ac:dyDescent="0.25">
      <c r="A13" s="8" t="s">
        <v>32</v>
      </c>
      <c r="B13" s="9">
        <v>10</v>
      </c>
      <c r="C13" s="15">
        <v>43537</v>
      </c>
      <c r="D13" s="10" t="s">
        <v>49</v>
      </c>
      <c r="E13" s="17">
        <v>4.2</v>
      </c>
      <c r="F13" s="17">
        <v>8.23</v>
      </c>
      <c r="G13" s="17">
        <v>55650</v>
      </c>
      <c r="H13" s="17">
        <v>36.9</v>
      </c>
      <c r="I13" s="17">
        <v>127</v>
      </c>
      <c r="J13" s="17">
        <v>91</v>
      </c>
      <c r="K13" s="22">
        <f t="shared" si="0"/>
        <v>36</v>
      </c>
      <c r="L13" s="18"/>
      <c r="M13" s="17">
        <v>13</v>
      </c>
      <c r="N13" s="17">
        <v>8</v>
      </c>
      <c r="O13" s="21">
        <f t="shared" si="1"/>
        <v>5</v>
      </c>
      <c r="P13" s="17">
        <v>0.42</v>
      </c>
      <c r="Q13" s="17" t="s">
        <v>36</v>
      </c>
      <c r="R13" s="18"/>
      <c r="S13" s="18"/>
      <c r="T13" s="18"/>
      <c r="U13" s="18"/>
      <c r="V13" s="18"/>
      <c r="W13" s="18"/>
      <c r="X13" s="18"/>
      <c r="Y13" s="18"/>
    </row>
    <row r="14" spans="1:25" x14ac:dyDescent="0.25">
      <c r="A14" s="8" t="s">
        <v>32</v>
      </c>
      <c r="B14" s="9">
        <v>11</v>
      </c>
      <c r="C14" s="15">
        <v>43537</v>
      </c>
      <c r="D14" s="10" t="s">
        <v>50</v>
      </c>
      <c r="E14" s="17">
        <v>2.4</v>
      </c>
      <c r="F14" s="17">
        <v>8.24</v>
      </c>
      <c r="G14" s="17">
        <v>55750</v>
      </c>
      <c r="H14" s="17">
        <v>37</v>
      </c>
      <c r="I14" s="17">
        <v>143</v>
      </c>
      <c r="J14" s="17">
        <v>97</v>
      </c>
      <c r="K14" s="22">
        <f t="shared" si="0"/>
        <v>46</v>
      </c>
      <c r="L14" s="18"/>
      <c r="M14" s="17">
        <v>12</v>
      </c>
      <c r="N14" s="17">
        <v>10</v>
      </c>
      <c r="O14" s="21">
        <f t="shared" si="1"/>
        <v>2</v>
      </c>
      <c r="P14" s="17" t="s">
        <v>36</v>
      </c>
      <c r="Q14" s="17" t="s">
        <v>36</v>
      </c>
      <c r="R14" s="18"/>
      <c r="S14" s="18"/>
      <c r="T14" s="18"/>
      <c r="U14" s="18"/>
      <c r="V14" s="18"/>
      <c r="W14" s="18"/>
      <c r="X14" s="18"/>
      <c r="Y14" s="18"/>
    </row>
    <row r="15" spans="1:25" x14ac:dyDescent="0.25">
      <c r="A15" s="11" t="s">
        <v>33</v>
      </c>
      <c r="B15" s="14"/>
      <c r="C15" s="13"/>
      <c r="D15" s="12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2"/>
      <c r="P15" s="18"/>
      <c r="Q15" s="18"/>
      <c r="R15" s="18"/>
      <c r="S15" s="18"/>
      <c r="T15" s="18"/>
      <c r="U15" s="18"/>
      <c r="V15" s="18"/>
      <c r="W15" s="18"/>
      <c r="X15" s="18"/>
      <c r="Y15" s="18"/>
    </row>
  </sheetData>
  <pageMargins left="0.7" right="0.7" top="0.75" bottom="0.75" header="0.3" footer="0.3"/>
  <pageSetup paperSize="9" scale="3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"/>
  <sheetViews>
    <sheetView workbookViewId="0">
      <selection activeCell="C44" sqref="C44"/>
    </sheetView>
  </sheetViews>
  <sheetFormatPr defaultRowHeight="15" x14ac:dyDescent="0.25"/>
  <cols>
    <col min="1" max="1" width="10.28515625" bestFit="1" customWidth="1"/>
    <col min="2" max="3" width="10.28515625" customWidth="1"/>
    <col min="4" max="4" width="24.42578125" bestFit="1" customWidth="1"/>
    <col min="11" max="11" width="39.140625" bestFit="1" customWidth="1"/>
    <col min="14" max="14" width="22.7109375" bestFit="1" customWidth="1"/>
  </cols>
  <sheetData>
    <row r="1" spans="1:38" x14ac:dyDescent="0.25">
      <c r="A1" s="1" t="s">
        <v>0</v>
      </c>
      <c r="B1" s="2" t="s">
        <v>2</v>
      </c>
      <c r="C1" s="2" t="s">
        <v>2</v>
      </c>
      <c r="D1" s="2" t="s">
        <v>5</v>
      </c>
      <c r="E1" s="41" t="s">
        <v>103</v>
      </c>
      <c r="F1" s="40"/>
      <c r="G1" s="40"/>
      <c r="H1" s="40"/>
      <c r="I1" s="39"/>
      <c r="K1" s="38" t="s">
        <v>102</v>
      </c>
      <c r="N1" s="38" t="s">
        <v>101</v>
      </c>
      <c r="Q1" s="38" t="s">
        <v>100</v>
      </c>
      <c r="T1" s="41" t="s">
        <v>99</v>
      </c>
      <c r="U1" s="40"/>
      <c r="V1" s="40"/>
      <c r="W1" s="40"/>
      <c r="X1" s="40"/>
      <c r="Y1" s="39"/>
      <c r="AB1" s="38" t="s">
        <v>98</v>
      </c>
      <c r="AE1" s="38" t="s">
        <v>97</v>
      </c>
      <c r="AF1" s="37"/>
      <c r="AG1" s="37"/>
      <c r="AH1" s="37"/>
      <c r="AI1" s="37"/>
      <c r="AJ1" s="37"/>
      <c r="AK1" s="37"/>
      <c r="AL1" s="36"/>
    </row>
    <row r="2" spans="1:38" x14ac:dyDescent="0.25">
      <c r="A2" s="4"/>
      <c r="B2" s="6" t="s">
        <v>4</v>
      </c>
      <c r="C2" s="6" t="s">
        <v>3</v>
      </c>
      <c r="D2" s="6"/>
      <c r="E2" s="32" t="s">
        <v>96</v>
      </c>
      <c r="F2" s="30" t="s">
        <v>95</v>
      </c>
      <c r="G2" s="30" t="s">
        <v>94</v>
      </c>
      <c r="H2" s="30" t="s">
        <v>93</v>
      </c>
      <c r="I2" s="29"/>
      <c r="K2" s="34" t="s">
        <v>92</v>
      </c>
      <c r="N2" s="34" t="s">
        <v>91</v>
      </c>
      <c r="Q2" s="34" t="s">
        <v>90</v>
      </c>
      <c r="T2" s="32" t="s">
        <v>89</v>
      </c>
      <c r="U2" s="30" t="s">
        <v>88</v>
      </c>
      <c r="V2" s="30" t="s">
        <v>87</v>
      </c>
      <c r="W2" s="30" t="s">
        <v>86</v>
      </c>
      <c r="X2" s="30" t="s">
        <v>85</v>
      </c>
      <c r="Y2" s="29" t="s">
        <v>84</v>
      </c>
      <c r="AB2" s="34" t="s">
        <v>83</v>
      </c>
      <c r="AE2" s="32" t="s">
        <v>82</v>
      </c>
      <c r="AF2" s="30" t="s">
        <v>81</v>
      </c>
      <c r="AG2" s="30" t="s">
        <v>80</v>
      </c>
      <c r="AH2" s="30" t="s">
        <v>79</v>
      </c>
      <c r="AI2" s="30" t="s">
        <v>78</v>
      </c>
      <c r="AJ2" s="30" t="s">
        <v>77</v>
      </c>
      <c r="AK2" s="30" t="s">
        <v>76</v>
      </c>
      <c r="AL2" s="29" t="s">
        <v>75</v>
      </c>
    </row>
    <row r="3" spans="1:38" x14ac:dyDescent="0.25">
      <c r="A3" s="4" t="s">
        <v>1</v>
      </c>
      <c r="B3" s="5"/>
      <c r="C3" s="5"/>
      <c r="D3" s="6"/>
      <c r="E3" s="32" t="s">
        <v>20</v>
      </c>
      <c r="F3" s="30" t="s">
        <v>20</v>
      </c>
      <c r="G3" s="30" t="s">
        <v>20</v>
      </c>
      <c r="H3" s="30" t="s">
        <v>20</v>
      </c>
      <c r="I3" s="29"/>
      <c r="K3" s="34" t="s">
        <v>20</v>
      </c>
      <c r="N3" s="34" t="s">
        <v>20</v>
      </c>
      <c r="Q3" s="34" t="s">
        <v>20</v>
      </c>
      <c r="T3" s="32" t="s">
        <v>20</v>
      </c>
      <c r="U3" s="30" t="s">
        <v>20</v>
      </c>
      <c r="V3" s="30" t="s">
        <v>20</v>
      </c>
      <c r="W3" s="30" t="s">
        <v>20</v>
      </c>
      <c r="X3" s="30" t="s">
        <v>20</v>
      </c>
      <c r="Y3" s="29" t="s">
        <v>20</v>
      </c>
      <c r="AB3" s="34" t="s">
        <v>20</v>
      </c>
      <c r="AE3" s="32" t="s">
        <v>20</v>
      </c>
      <c r="AF3" s="30" t="s">
        <v>20</v>
      </c>
      <c r="AG3" s="30" t="s">
        <v>20</v>
      </c>
      <c r="AH3" s="30" t="s">
        <v>20</v>
      </c>
      <c r="AI3" s="30" t="s">
        <v>20</v>
      </c>
      <c r="AJ3" s="30" t="s">
        <v>20</v>
      </c>
      <c r="AK3" s="30" t="s">
        <v>20</v>
      </c>
      <c r="AL3" s="29" t="s">
        <v>20</v>
      </c>
    </row>
    <row r="4" spans="1:38" x14ac:dyDescent="0.25">
      <c r="E4" s="32" t="s">
        <v>33</v>
      </c>
      <c r="F4" s="30" t="s">
        <v>33</v>
      </c>
      <c r="G4" s="30" t="s">
        <v>33</v>
      </c>
      <c r="H4" s="30" t="s">
        <v>33</v>
      </c>
      <c r="I4" s="29"/>
      <c r="K4" s="34" t="s">
        <v>33</v>
      </c>
      <c r="N4" s="34" t="s">
        <v>33</v>
      </c>
      <c r="Q4" s="34" t="s">
        <v>33</v>
      </c>
      <c r="T4" s="32" t="s">
        <v>33</v>
      </c>
      <c r="U4" s="30" t="s">
        <v>33</v>
      </c>
      <c r="V4" s="30" t="s">
        <v>33</v>
      </c>
      <c r="W4" s="30" t="s">
        <v>33</v>
      </c>
      <c r="X4" s="30" t="s">
        <v>33</v>
      </c>
      <c r="Y4" s="29" t="s">
        <v>33</v>
      </c>
      <c r="AB4" s="34" t="s">
        <v>33</v>
      </c>
      <c r="AE4" s="32" t="s">
        <v>33</v>
      </c>
      <c r="AF4" s="30" t="s">
        <v>33</v>
      </c>
      <c r="AG4" s="30" t="s">
        <v>33</v>
      </c>
      <c r="AH4" s="30" t="s">
        <v>33</v>
      </c>
      <c r="AI4" s="30" t="s">
        <v>33</v>
      </c>
      <c r="AJ4" s="30" t="s">
        <v>33</v>
      </c>
      <c r="AK4" s="30" t="s">
        <v>33</v>
      </c>
      <c r="AL4" s="29" t="s">
        <v>33</v>
      </c>
    </row>
    <row r="5" spans="1:38" x14ac:dyDescent="0.25">
      <c r="A5" s="8" t="s">
        <v>32</v>
      </c>
      <c r="B5" s="9">
        <v>1</v>
      </c>
      <c r="C5" s="15">
        <v>43538</v>
      </c>
      <c r="D5" s="10" t="s">
        <v>34</v>
      </c>
      <c r="E5" s="32" t="s">
        <v>57</v>
      </c>
      <c r="F5" s="30" t="s">
        <v>57</v>
      </c>
      <c r="G5" s="30" t="s">
        <v>53</v>
      </c>
      <c r="H5" s="30" t="s">
        <v>53</v>
      </c>
      <c r="I5" s="29"/>
      <c r="K5" s="34" t="s">
        <v>53</v>
      </c>
      <c r="N5" s="34" t="s">
        <v>57</v>
      </c>
      <c r="Q5" s="33" t="s">
        <v>74</v>
      </c>
      <c r="T5" s="32" t="s">
        <v>53</v>
      </c>
      <c r="U5" s="30" t="s">
        <v>53</v>
      </c>
      <c r="V5" s="30" t="s">
        <v>53</v>
      </c>
      <c r="W5" s="30" t="s">
        <v>53</v>
      </c>
      <c r="X5" s="30" t="s">
        <v>53</v>
      </c>
      <c r="Y5" s="29" t="s">
        <v>53</v>
      </c>
      <c r="AB5" s="33" t="s">
        <v>69</v>
      </c>
      <c r="AE5" s="32" t="s">
        <v>53</v>
      </c>
      <c r="AF5" s="31" t="s">
        <v>73</v>
      </c>
      <c r="AG5" s="30" t="s">
        <v>53</v>
      </c>
      <c r="AH5" s="30" t="s">
        <v>53</v>
      </c>
      <c r="AI5" s="30" t="s">
        <v>53</v>
      </c>
      <c r="AJ5" s="30" t="s">
        <v>53</v>
      </c>
      <c r="AK5" s="30" t="s">
        <v>53</v>
      </c>
      <c r="AL5" s="29" t="s">
        <v>53</v>
      </c>
    </row>
    <row r="6" spans="1:38" x14ac:dyDescent="0.25">
      <c r="A6" s="8" t="s">
        <v>32</v>
      </c>
      <c r="B6" s="9">
        <v>2</v>
      </c>
      <c r="C6" s="15">
        <v>43538</v>
      </c>
      <c r="D6" s="10" t="s">
        <v>41</v>
      </c>
      <c r="E6" s="32" t="s">
        <v>57</v>
      </c>
      <c r="F6" s="30" t="s">
        <v>57</v>
      </c>
      <c r="G6" s="30" t="s">
        <v>53</v>
      </c>
      <c r="H6" s="30" t="s">
        <v>53</v>
      </c>
      <c r="I6" s="29"/>
      <c r="K6" s="34" t="s">
        <v>53</v>
      </c>
      <c r="N6" s="34" t="s">
        <v>57</v>
      </c>
      <c r="Q6" s="33" t="s">
        <v>72</v>
      </c>
      <c r="T6" s="32" t="s">
        <v>53</v>
      </c>
      <c r="U6" s="30" t="s">
        <v>53</v>
      </c>
      <c r="V6" s="30" t="s">
        <v>53</v>
      </c>
      <c r="W6" s="30" t="s">
        <v>53</v>
      </c>
      <c r="X6" s="30" t="s">
        <v>53</v>
      </c>
      <c r="Y6" s="29" t="s">
        <v>53</v>
      </c>
      <c r="AB6" s="33" t="s">
        <v>71</v>
      </c>
      <c r="AE6" s="35" t="s">
        <v>70</v>
      </c>
      <c r="AF6" s="31" t="s">
        <v>69</v>
      </c>
      <c r="AG6" s="30" t="s">
        <v>53</v>
      </c>
      <c r="AH6" s="30" t="s">
        <v>53</v>
      </c>
      <c r="AI6" s="30" t="s">
        <v>53</v>
      </c>
      <c r="AJ6" s="30" t="s">
        <v>53</v>
      </c>
      <c r="AK6" s="30" t="s">
        <v>53</v>
      </c>
      <c r="AL6" s="29" t="s">
        <v>53</v>
      </c>
    </row>
    <row r="7" spans="1:38" x14ac:dyDescent="0.25">
      <c r="A7" s="8" t="s">
        <v>32</v>
      </c>
      <c r="B7" s="9">
        <v>3</v>
      </c>
      <c r="C7" s="15">
        <v>43540</v>
      </c>
      <c r="D7" s="10" t="s">
        <v>104</v>
      </c>
      <c r="E7" s="42"/>
      <c r="F7" s="43"/>
      <c r="G7" s="43"/>
      <c r="H7" s="43"/>
      <c r="I7" s="44"/>
      <c r="J7" s="45"/>
      <c r="K7" s="46"/>
      <c r="L7" s="45"/>
      <c r="M7" s="45"/>
      <c r="N7" s="46"/>
      <c r="O7" s="45"/>
      <c r="P7" s="45"/>
      <c r="Q7" s="46"/>
      <c r="R7" s="45"/>
      <c r="S7" s="45"/>
      <c r="T7" s="42"/>
      <c r="U7" s="43"/>
      <c r="V7" s="43"/>
      <c r="W7" s="43"/>
      <c r="X7" s="43"/>
      <c r="Y7" s="47"/>
      <c r="Z7" s="45"/>
      <c r="AA7" s="45"/>
      <c r="AB7" s="46"/>
      <c r="AC7" s="45"/>
      <c r="AD7" s="45"/>
      <c r="AE7" s="42"/>
      <c r="AF7" s="43"/>
      <c r="AG7" s="43"/>
      <c r="AH7" s="43"/>
      <c r="AI7" s="43"/>
      <c r="AJ7" s="43"/>
      <c r="AK7" s="43"/>
      <c r="AL7" s="47"/>
    </row>
    <row r="8" spans="1:38" x14ac:dyDescent="0.25">
      <c r="A8" s="8" t="s">
        <v>32</v>
      </c>
      <c r="B8" s="9">
        <v>4</v>
      </c>
      <c r="C8" s="15">
        <v>43539</v>
      </c>
      <c r="D8" s="10" t="s">
        <v>43</v>
      </c>
      <c r="E8" s="32" t="s">
        <v>57</v>
      </c>
      <c r="F8" s="30" t="s">
        <v>57</v>
      </c>
      <c r="G8" s="30" t="s">
        <v>53</v>
      </c>
      <c r="H8" s="30" t="s">
        <v>53</v>
      </c>
      <c r="I8" s="29"/>
      <c r="K8" s="34" t="s">
        <v>53</v>
      </c>
      <c r="N8" s="34" t="s">
        <v>57</v>
      </c>
      <c r="Q8" s="33" t="s">
        <v>68</v>
      </c>
      <c r="T8" s="32" t="s">
        <v>53</v>
      </c>
      <c r="U8" s="30" t="s">
        <v>53</v>
      </c>
      <c r="V8" s="30" t="s">
        <v>53</v>
      </c>
      <c r="W8" s="30" t="s">
        <v>53</v>
      </c>
      <c r="X8" s="30" t="s">
        <v>53</v>
      </c>
      <c r="Y8" s="29" t="s">
        <v>53</v>
      </c>
      <c r="AB8" s="33" t="s">
        <v>67</v>
      </c>
      <c r="AE8" s="32" t="s">
        <v>53</v>
      </c>
      <c r="AF8" s="31" t="s">
        <v>66</v>
      </c>
      <c r="AG8" s="30" t="s">
        <v>53</v>
      </c>
      <c r="AH8" s="30" t="s">
        <v>53</v>
      </c>
      <c r="AI8" s="30" t="s">
        <v>53</v>
      </c>
      <c r="AJ8" s="30" t="s">
        <v>53</v>
      </c>
      <c r="AK8" s="30" t="s">
        <v>53</v>
      </c>
      <c r="AL8" s="29" t="s">
        <v>53</v>
      </c>
    </row>
    <row r="9" spans="1:38" x14ac:dyDescent="0.25">
      <c r="A9" s="8" t="s">
        <v>32</v>
      </c>
      <c r="B9" s="9">
        <v>5</v>
      </c>
      <c r="C9" s="15">
        <v>43539</v>
      </c>
      <c r="D9" s="10" t="s">
        <v>44</v>
      </c>
      <c r="E9" s="32" t="s">
        <v>57</v>
      </c>
      <c r="F9" s="30" t="s">
        <v>57</v>
      </c>
      <c r="G9" s="30" t="s">
        <v>53</v>
      </c>
      <c r="H9" s="30" t="s">
        <v>53</v>
      </c>
      <c r="I9" s="29"/>
      <c r="K9" s="34" t="s">
        <v>53</v>
      </c>
      <c r="N9" s="34" t="s">
        <v>57</v>
      </c>
      <c r="Q9" s="33" t="s">
        <v>65</v>
      </c>
      <c r="T9" s="32" t="s">
        <v>53</v>
      </c>
      <c r="U9" s="30" t="s">
        <v>53</v>
      </c>
      <c r="V9" s="30" t="s">
        <v>53</v>
      </c>
      <c r="W9" s="30" t="s">
        <v>53</v>
      </c>
      <c r="X9" s="30" t="s">
        <v>53</v>
      </c>
      <c r="Y9" s="29" t="s">
        <v>53</v>
      </c>
      <c r="AB9" s="33" t="s">
        <v>64</v>
      </c>
      <c r="AE9" s="35" t="s">
        <v>63</v>
      </c>
      <c r="AF9" s="31" t="s">
        <v>62</v>
      </c>
      <c r="AG9" s="30" t="s">
        <v>53</v>
      </c>
      <c r="AH9" s="30" t="s">
        <v>53</v>
      </c>
      <c r="AI9" s="30" t="s">
        <v>53</v>
      </c>
      <c r="AJ9" s="30" t="s">
        <v>53</v>
      </c>
      <c r="AK9" s="30" t="s">
        <v>53</v>
      </c>
      <c r="AL9" s="29" t="s">
        <v>53</v>
      </c>
    </row>
    <row r="10" spans="1:38" x14ac:dyDescent="0.25">
      <c r="A10" s="8" t="s">
        <v>32</v>
      </c>
      <c r="B10" s="9">
        <v>6</v>
      </c>
      <c r="C10" s="15">
        <v>43539</v>
      </c>
      <c r="D10" s="10" t="s">
        <v>45</v>
      </c>
      <c r="E10" s="32" t="s">
        <v>57</v>
      </c>
      <c r="F10" s="30" t="s">
        <v>57</v>
      </c>
      <c r="G10" s="30" t="s">
        <v>53</v>
      </c>
      <c r="H10" s="30" t="s">
        <v>53</v>
      </c>
      <c r="I10" s="29"/>
      <c r="K10" s="34" t="s">
        <v>53</v>
      </c>
      <c r="N10" s="34" t="s">
        <v>57</v>
      </c>
      <c r="Q10" s="33" t="s">
        <v>61</v>
      </c>
      <c r="T10" s="32" t="s">
        <v>53</v>
      </c>
      <c r="U10" s="30" t="s">
        <v>53</v>
      </c>
      <c r="V10" s="30" t="s">
        <v>53</v>
      </c>
      <c r="W10" s="30" t="s">
        <v>53</v>
      </c>
      <c r="X10" s="30" t="s">
        <v>53</v>
      </c>
      <c r="Y10" s="29" t="s">
        <v>53</v>
      </c>
      <c r="AB10" s="33" t="s">
        <v>60</v>
      </c>
      <c r="AE10" s="32" t="s">
        <v>53</v>
      </c>
      <c r="AF10" s="31" t="s">
        <v>55</v>
      </c>
      <c r="AG10" s="30" t="s">
        <v>53</v>
      </c>
      <c r="AH10" s="30" t="s">
        <v>53</v>
      </c>
      <c r="AI10" s="30" t="s">
        <v>53</v>
      </c>
      <c r="AJ10" s="30" t="s">
        <v>53</v>
      </c>
      <c r="AK10" s="30" t="s">
        <v>53</v>
      </c>
      <c r="AL10" s="29" t="s">
        <v>53</v>
      </c>
    </row>
    <row r="11" spans="1:38" x14ac:dyDescent="0.25">
      <c r="A11" s="8" t="s">
        <v>32</v>
      </c>
      <c r="B11" s="9">
        <v>7</v>
      </c>
      <c r="C11" s="15">
        <v>43538</v>
      </c>
      <c r="D11" s="10" t="s">
        <v>46</v>
      </c>
      <c r="E11" s="32" t="s">
        <v>57</v>
      </c>
      <c r="F11" s="30" t="s">
        <v>57</v>
      </c>
      <c r="G11" s="30" t="s">
        <v>53</v>
      </c>
      <c r="H11" s="30" t="s">
        <v>53</v>
      </c>
      <c r="I11" s="29"/>
      <c r="K11" s="34" t="s">
        <v>53</v>
      </c>
      <c r="N11" s="34" t="s">
        <v>57</v>
      </c>
      <c r="Q11" s="33" t="s">
        <v>58</v>
      </c>
      <c r="T11" s="32" t="s">
        <v>53</v>
      </c>
      <c r="U11" s="30" t="s">
        <v>53</v>
      </c>
      <c r="V11" s="30" t="s">
        <v>53</v>
      </c>
      <c r="W11" s="30" t="s">
        <v>53</v>
      </c>
      <c r="X11" s="30" t="s">
        <v>53</v>
      </c>
      <c r="Y11" s="29" t="s">
        <v>53</v>
      </c>
      <c r="AB11" s="33" t="s">
        <v>59</v>
      </c>
      <c r="AE11" s="32" t="s">
        <v>53</v>
      </c>
      <c r="AF11" s="31" t="s">
        <v>58</v>
      </c>
      <c r="AG11" s="30" t="s">
        <v>53</v>
      </c>
      <c r="AH11" s="30" t="s">
        <v>53</v>
      </c>
      <c r="AI11" s="30" t="s">
        <v>53</v>
      </c>
      <c r="AJ11" s="30" t="s">
        <v>53</v>
      </c>
      <c r="AK11" s="30" t="s">
        <v>53</v>
      </c>
      <c r="AL11" s="29" t="s">
        <v>53</v>
      </c>
    </row>
    <row r="12" spans="1:38" x14ac:dyDescent="0.25">
      <c r="A12" s="8" t="s">
        <v>32</v>
      </c>
      <c r="B12" s="9">
        <v>8</v>
      </c>
      <c r="C12" s="15">
        <v>43538</v>
      </c>
      <c r="D12" s="10" t="s">
        <v>47</v>
      </c>
      <c r="E12" s="26" t="s">
        <v>57</v>
      </c>
      <c r="F12" s="24" t="s">
        <v>57</v>
      </c>
      <c r="G12" s="24" t="s">
        <v>53</v>
      </c>
      <c r="H12" s="24" t="s">
        <v>53</v>
      </c>
      <c r="I12" s="23"/>
      <c r="K12" s="28" t="s">
        <v>53</v>
      </c>
      <c r="N12" s="28" t="s">
        <v>57</v>
      </c>
      <c r="Q12" s="27" t="s">
        <v>56</v>
      </c>
      <c r="T12" s="26" t="s">
        <v>53</v>
      </c>
      <c r="U12" s="24" t="s">
        <v>53</v>
      </c>
      <c r="V12" s="24" t="s">
        <v>53</v>
      </c>
      <c r="W12" s="24" t="s">
        <v>53</v>
      </c>
      <c r="X12" s="24" t="s">
        <v>53</v>
      </c>
      <c r="Y12" s="23" t="s">
        <v>53</v>
      </c>
      <c r="AB12" s="27" t="s">
        <v>55</v>
      </c>
      <c r="AE12" s="26" t="s">
        <v>53</v>
      </c>
      <c r="AF12" s="25" t="s">
        <v>54</v>
      </c>
      <c r="AG12" s="24" t="s">
        <v>53</v>
      </c>
      <c r="AH12" s="24" t="s">
        <v>53</v>
      </c>
      <c r="AI12" s="24" t="s">
        <v>53</v>
      </c>
      <c r="AJ12" s="24" t="s">
        <v>53</v>
      </c>
      <c r="AK12" s="24" t="s">
        <v>53</v>
      </c>
      <c r="AL12" s="23" t="s">
        <v>53</v>
      </c>
    </row>
    <row r="15" spans="1:38" x14ac:dyDescent="0.25">
      <c r="C15" t="s">
        <v>105</v>
      </c>
    </row>
  </sheetData>
  <mergeCells count="2">
    <mergeCell ref="E1:I1"/>
    <mergeCell ref="T1:Y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3A8C9F-22EF-4AC7-AEE0-7CE8E9C9D58B}"/>
</file>

<file path=customXml/itemProps2.xml><?xml version="1.0" encoding="utf-8"?>
<ds:datastoreItem xmlns:ds="http://schemas.openxmlformats.org/officeDocument/2006/customXml" ds:itemID="{E6AB8BF1-0AFE-49B8-B8C9-5EDD217FF183}"/>
</file>

<file path=customXml/itemProps3.xml><?xml version="1.0" encoding="utf-8"?>
<ds:datastoreItem xmlns:ds="http://schemas.openxmlformats.org/officeDocument/2006/customXml" ds:itemID="{7A4521DD-8185-4A29-B250-782861BF5D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Lims1 Results 16</vt:lpstr>
      <vt:lpstr>PESTICIDES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2019-04-18T07:55:26Z</cp:lastPrinted>
  <dcterms:created xsi:type="dcterms:W3CDTF">2019-04-18T07:46:00Z</dcterms:created>
  <dcterms:modified xsi:type="dcterms:W3CDTF">2019-04-18T07:58:50Z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
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 - REPORTS\2019\Nathan\NQBP\"/>
    </mc:Choice>
  </mc:AlternateContent>
  <bookViews>
    <workbookView xWindow="0" yWindow="0" windowWidth="29010" windowHeight="13230"/>
  </bookViews>
  <sheets>
    <sheet name="Lims1 Results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1" l="1"/>
  <c r="O6" i="1"/>
  <c r="O7" i="1"/>
  <c r="O8" i="1"/>
  <c r="O9" i="1"/>
  <c r="O10" i="1"/>
  <c r="O4" i="1"/>
  <c r="L5" i="1"/>
  <c r="L6" i="1"/>
  <c r="L7" i="1"/>
  <c r="L8" i="1"/>
  <c r="L9" i="1"/>
  <c r="L10" i="1"/>
  <c r="L4" i="1"/>
</calcChain>
</file>

<file path=xl/sharedStrings.xml><?xml version="1.0" encoding="utf-8"?>
<sst xmlns="http://schemas.openxmlformats.org/spreadsheetml/2006/main" count="60" uniqueCount="37">
  <si>
    <t>Reference</t>
  </si>
  <si>
    <t>Units</t>
  </si>
  <si>
    <t>Description</t>
  </si>
  <si>
    <t>Sample</t>
  </si>
  <si>
    <t>Date</t>
  </si>
  <si>
    <t>No.</t>
  </si>
  <si>
    <t>Bottle ID for Sample Bottle</t>
  </si>
  <si>
    <t>pH</t>
  </si>
  <si>
    <t>Total Nitrogen</t>
  </si>
  <si>
    <t>µg N/L</t>
  </si>
  <si>
    <t>Total Dissolved Nitrogen</t>
  </si>
  <si>
    <t>Total Phosphorus</t>
  </si>
  <si>
    <t>µg P/L</t>
  </si>
  <si>
    <t>Total Suspended Solids</t>
  </si>
  <si>
    <t>mg/L</t>
  </si>
  <si>
    <t>Salinity</t>
  </si>
  <si>
    <t>PSU</t>
  </si>
  <si>
    <t>Electrical Conductivity</t>
  </si>
  <si>
    <t>µS/cm</t>
  </si>
  <si>
    <t>Total Dissolved Phosphorus</t>
  </si>
  <si>
    <t>Chlorophyll-a</t>
  </si>
  <si>
    <t>µg/L</t>
  </si>
  <si>
    <t>Phaeophytin a</t>
  </si>
  <si>
    <t>Oxidized Nitrogen</t>
  </si>
  <si>
    <t>J19-0118</t>
  </si>
  <si>
    <t/>
  </si>
  <si>
    <t>AMB1</t>
  </si>
  <si>
    <t>AMB3B</t>
  </si>
  <si>
    <t>AMB5</t>
  </si>
  <si>
    <t>&lt;0.2</t>
  </si>
  <si>
    <t>AMB10</t>
  </si>
  <si>
    <t>AMB11</t>
  </si>
  <si>
    <t>AMB12</t>
  </si>
  <si>
    <t>AMB 2</t>
  </si>
  <si>
    <t>CAM2</t>
  </si>
  <si>
    <t>PN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</si>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</sst>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80000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 tint="-0.24994659260841701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9">
    <xf numFmtId="0" fontId="0" fillId="0" borderId="0" xfId="0"/>
    <xf numFmtId="49" fontId="18" fillId="0" borderId="10" xfId="0" applyNumberFormat="1" applyFont="1" applyBorder="1" applyAlignment="1"/>
    <xf numFmtId="49" fontId="18" fillId="0" borderId="0" xfId="0" applyNumberFormat="1" applyFont="1" applyBorder="1" applyAlignment="1"/>
    <xf numFmtId="49" fontId="18" fillId="0" borderId="13" xfId="0" applyNumberFormat="1" applyFont="1" applyBorder="1" applyAlignment="1">
      <alignment horizontal="center"/>
    </xf>
    <xf numFmtId="49" fontId="18" fillId="0" borderId="10" xfId="0" applyNumberFormat="1" applyFont="1" applyBorder="1" applyAlignment="1">
      <alignment horizontal="center"/>
    </xf>
    <xf numFmtId="49" fontId="18" fillId="0" borderId="11" xfId="0" applyNumberFormat="1" applyFont="1" applyBorder="1" applyAlignment="1">
      <alignment horizontal="center"/>
    </xf>
    <xf numFmtId="49" fontId="18" fillId="0" borderId="14" xfId="0" applyNumberFormat="1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49" fontId="18" fillId="0" borderId="0" xfId="0" applyNumberFormat="1" applyFont="1" applyBorder="1" applyAlignment="1">
      <alignment horizontal="center"/>
    </xf>
    <xf numFmtId="49" fontId="18" fillId="0" borderId="12" xfId="0" applyNumberFormat="1" applyFont="1" applyBorder="1" applyAlignment="1">
      <alignment horizontal="center"/>
    </xf>
    <xf numFmtId="49" fontId="18" fillId="0" borderId="0" xfId="0" applyNumberFormat="1" applyFont="1" applyAlignment="1"/>
    <xf numFmtId="0" fontId="18" fillId="0" borderId="0" xfId="0" applyFont="1" applyAlignment="1"/>
    <xf numFmtId="0" fontId="18" fillId="0" borderId="0" xfId="0" applyNumberFormat="1" applyFont="1" applyAlignment="1"/>
    <xf numFmtId="49" fontId="18" fillId="33" borderId="0" xfId="0" applyNumberFormat="1" applyFont="1" applyFill="1" applyAlignment="1"/>
    <xf numFmtId="0" fontId="18" fillId="33" borderId="0" xfId="0" applyNumberFormat="1" applyFont="1" applyFill="1" applyAlignment="1"/>
    <xf numFmtId="164" fontId="18" fillId="33" borderId="0" xfId="0" applyNumberFormat="1" applyFont="1" applyFill="1" applyAlignment="1"/>
    <xf numFmtId="0" fontId="18" fillId="33" borderId="0" xfId="0" applyFont="1" applyFill="1" applyAlignment="1"/>
    <xf numFmtId="14" fontId="18" fillId="0" borderId="0" xfId="0" applyNumberFormat="1" applyFont="1" applyAlignment="1"/>
    <xf numFmtId="0" fontId="0" fillId="0" borderId="0" xfId="0" applyAlignment="1"/>
    <xf numFmtId="0" fontId="18" fillId="0" borderId="0" xfId="0" applyNumberFormat="1" applyFont="1" applyAlignment="1">
      <alignment horizontal="center"/>
    </xf>
    <xf numFmtId="0" fontId="18" fillId="3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18" fillId="34" borderId="10" xfId="0" applyNumberFormat="1" applyFont="1" applyFill="1" applyBorder="1" applyAlignment="1">
      <alignment horizontal="center"/>
    </xf>
    <xf numFmtId="49" fontId="18" fillId="34" borderId="0" xfId="0" applyNumberFormat="1" applyFont="1" applyFill="1" applyBorder="1" applyAlignment="1">
      <alignment horizontal="center"/>
    </xf>
    <xf numFmtId="49" fontId="18" fillId="34" borderId="10" xfId="0" applyNumberFormat="1" applyFont="1" applyFill="1" applyBorder="1" applyAlignment="1">
      <alignment horizontal="center"/>
    </xf>
    <xf numFmtId="49" fontId="18" fillId="34" borderId="0" xfId="0" applyNumberFormat="1" applyFont="1" applyFill="1" applyBorder="1" applyAlignment="1">
      <alignment horizontal="center"/>
    </xf>
    <xf numFmtId="0" fontId="18" fillId="34" borderId="0" xfId="0" applyNumberFormat="1" applyFont="1" applyFill="1" applyAlignment="1">
      <alignment horizontal="center"/>
    </xf>
    <xf numFmtId="49" fontId="18" fillId="0" borderId="10" xfId="0" applyNumberFormat="1" applyFont="1" applyBorder="1" applyAlignment="1">
      <alignment horizontal="center"/>
    </xf>
    <xf numFmtId="49" fontId="18" fillId="0" borderId="0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1"/>
  <sheetViews>
    <sheetView tabSelected="1" topLeftCell="B1" workbookViewId="0">
      <selection activeCell="G6" sqref="G6"/>
    </sheetView>
  </sheetViews>
  <sheetFormatPr defaultRowHeight="15" x14ac:dyDescent="0.25"/>
  <cols>
    <col min="2" max="2" width="9.28515625" bestFit="1" customWidth="1"/>
    <col min="3" max="3" width="10" bestFit="1" customWidth="1"/>
    <col min="4" max="4" width="21.42578125" bestFit="1" customWidth="1"/>
    <col min="5" max="5" width="23" style="18" bestFit="1" customWidth="1"/>
    <col min="6" max="6" width="20.42578125" style="21" bestFit="1" customWidth="1"/>
    <col min="7" max="7" width="18.85546875" style="21" bestFit="1" customWidth="1"/>
    <col min="8" max="9" width="9.28515625" style="21" bestFit="1" customWidth="1"/>
    <col min="10" max="10" width="12.5703125" style="21" bestFit="1" customWidth="1"/>
    <col min="11" max="11" width="21" style="21" bestFit="1" customWidth="1"/>
    <col min="12" max="12" width="21" style="21" customWidth="1"/>
    <col min="13" max="13" width="15.28515625" style="21" bestFit="1" customWidth="1"/>
    <col min="14" max="14" width="23.7109375" style="21" bestFit="1" customWidth="1"/>
    <col min="15" max="15" width="23.7109375" style="21" customWidth="1"/>
    <col min="16" max="16" width="11.7109375" style="21" bestFit="1" customWidth="1"/>
    <col min="17" max="17" width="12.42578125" style="21" bestFit="1" customWidth="1"/>
    <col min="18" max="18" width="15.42578125" style="21" bestFit="1" customWidth="1"/>
  </cols>
  <sheetData>
    <row r="1" spans="1:18" x14ac:dyDescent="0.25">
      <c r="A1" s="3" t="s">
        <v>0</v>
      </c>
      <c r="B1" s="4" t="s">
        <v>3</v>
      </c>
      <c r="C1" s="4" t="s">
        <v>3</v>
      </c>
      <c r="D1" s="4" t="s">
        <v>3</v>
      </c>
      <c r="E1" s="1" t="s">
        <v>6</v>
      </c>
      <c r="F1" s="4" t="s">
        <v>13</v>
      </c>
      <c r="G1" s="27" t="s">
        <v>17</v>
      </c>
      <c r="H1" s="27" t="s">
        <v>15</v>
      </c>
      <c r="I1" s="4" t="s">
        <v>7</v>
      </c>
      <c r="J1" s="4" t="s">
        <v>8</v>
      </c>
      <c r="K1" s="4" t="s">
        <v>10</v>
      </c>
      <c r="L1" s="22" t="s">
        <v>35</v>
      </c>
      <c r="M1" s="4" t="s">
        <v>11</v>
      </c>
      <c r="N1" s="4" t="s">
        <v>19</v>
      </c>
      <c r="O1" s="24" t="s">
        <v>36</v>
      </c>
      <c r="P1" s="4" t="s">
        <v>20</v>
      </c>
      <c r="Q1" s="4" t="s">
        <v>22</v>
      </c>
      <c r="R1" s="5" t="s">
        <v>23</v>
      </c>
    </row>
    <row r="2" spans="1:18" x14ac:dyDescent="0.25">
      <c r="A2" s="6"/>
      <c r="B2" s="8" t="s">
        <v>5</v>
      </c>
      <c r="C2" s="8" t="s">
        <v>2</v>
      </c>
      <c r="D2" s="8" t="s">
        <v>4</v>
      </c>
      <c r="E2" s="2"/>
      <c r="F2" s="8"/>
      <c r="G2" s="28"/>
      <c r="H2" s="28"/>
      <c r="I2" s="8"/>
      <c r="J2" s="8"/>
      <c r="K2" s="8"/>
      <c r="L2" s="23"/>
      <c r="M2" s="8"/>
      <c r="N2" s="8"/>
      <c r="O2" s="25"/>
      <c r="P2" s="8"/>
      <c r="Q2" s="8"/>
      <c r="R2" s="9"/>
    </row>
    <row r="3" spans="1:18" x14ac:dyDescent="0.25">
      <c r="A3" s="6" t="s">
        <v>1</v>
      </c>
      <c r="B3" s="7"/>
      <c r="C3" s="7"/>
      <c r="D3" s="7"/>
      <c r="E3" s="2"/>
      <c r="F3" s="8" t="s">
        <v>14</v>
      </c>
      <c r="G3" s="28" t="s">
        <v>18</v>
      </c>
      <c r="H3" s="28" t="s">
        <v>16</v>
      </c>
      <c r="I3" s="8"/>
      <c r="J3" s="8" t="s">
        <v>9</v>
      </c>
      <c r="K3" s="8" t="s">
        <v>9</v>
      </c>
      <c r="L3" s="25" t="s">
        <v>9</v>
      </c>
      <c r="M3" s="8" t="s">
        <v>12</v>
      </c>
      <c r="N3" s="8" t="s">
        <v>12</v>
      </c>
      <c r="O3" s="25" t="s">
        <v>12</v>
      </c>
      <c r="P3" s="8" t="s">
        <v>21</v>
      </c>
      <c r="Q3" s="8" t="s">
        <v>21</v>
      </c>
      <c r="R3" s="9" t="s">
        <v>9</v>
      </c>
    </row>
    <row r="4" spans="1:18" x14ac:dyDescent="0.25">
      <c r="A4" s="10" t="s">
        <v>24</v>
      </c>
      <c r="B4" s="11">
        <v>1</v>
      </c>
      <c r="C4" s="13" t="s">
        <v>25</v>
      </c>
      <c r="D4" s="17">
        <v>43588</v>
      </c>
      <c r="E4" s="12" t="s">
        <v>26</v>
      </c>
      <c r="F4" s="19">
        <v>17</v>
      </c>
      <c r="G4" s="19">
        <v>53640</v>
      </c>
      <c r="H4" s="19">
        <v>35.4</v>
      </c>
      <c r="I4" s="19">
        <v>8.23</v>
      </c>
      <c r="J4" s="19">
        <v>248</v>
      </c>
      <c r="K4" s="19">
        <v>231</v>
      </c>
      <c r="L4" s="26">
        <f>+J4-K4</f>
        <v>17</v>
      </c>
      <c r="M4" s="19">
        <v>23</v>
      </c>
      <c r="N4" s="19">
        <v>18</v>
      </c>
      <c r="O4" s="26">
        <f>+M4-N4</f>
        <v>5</v>
      </c>
      <c r="P4" s="19">
        <v>1.01</v>
      </c>
      <c r="Q4" s="19">
        <v>0.28000000000000003</v>
      </c>
      <c r="R4" s="20"/>
    </row>
    <row r="5" spans="1:18" x14ac:dyDescent="0.25">
      <c r="A5" s="10" t="s">
        <v>24</v>
      </c>
      <c r="B5" s="11">
        <v>2</v>
      </c>
      <c r="C5" s="13" t="s">
        <v>25</v>
      </c>
      <c r="D5" s="17">
        <v>43588</v>
      </c>
      <c r="E5" s="12" t="s">
        <v>27</v>
      </c>
      <c r="F5" s="19">
        <v>5.8</v>
      </c>
      <c r="G5" s="19">
        <v>53420</v>
      </c>
      <c r="H5" s="19">
        <v>35.299999999999997</v>
      </c>
      <c r="I5" s="19">
        <v>8.1999999999999993</v>
      </c>
      <c r="J5" s="19">
        <v>182</v>
      </c>
      <c r="K5" s="19">
        <v>127</v>
      </c>
      <c r="L5" s="26">
        <f t="shared" ref="L5:L10" si="0">+J5-K5</f>
        <v>55</v>
      </c>
      <c r="M5" s="19">
        <v>21</v>
      </c>
      <c r="N5" s="19">
        <v>15</v>
      </c>
      <c r="O5" s="26">
        <f t="shared" ref="O5:O10" si="1">+M5-N5</f>
        <v>6</v>
      </c>
      <c r="P5" s="19">
        <v>0.8</v>
      </c>
      <c r="Q5" s="19">
        <v>0.44</v>
      </c>
      <c r="R5" s="20"/>
    </row>
    <row r="6" spans="1:18" x14ac:dyDescent="0.25">
      <c r="A6" s="10" t="s">
        <v>24</v>
      </c>
      <c r="B6" s="11">
        <v>3</v>
      </c>
      <c r="C6" s="13" t="s">
        <v>25</v>
      </c>
      <c r="D6" s="17">
        <v>43588</v>
      </c>
      <c r="E6" s="12" t="s">
        <v>28</v>
      </c>
      <c r="F6" s="19">
        <v>7.2</v>
      </c>
      <c r="G6" s="19">
        <v>53020</v>
      </c>
      <c r="H6" s="19">
        <v>35</v>
      </c>
      <c r="I6" s="19">
        <v>8.2100000000000009</v>
      </c>
      <c r="J6" s="19">
        <v>325</v>
      </c>
      <c r="K6" s="19">
        <v>178</v>
      </c>
      <c r="L6" s="26">
        <f t="shared" si="0"/>
        <v>147</v>
      </c>
      <c r="M6" s="19">
        <v>42</v>
      </c>
      <c r="N6" s="19">
        <v>14</v>
      </c>
      <c r="O6" s="26">
        <f t="shared" si="1"/>
        <v>28</v>
      </c>
      <c r="P6" s="19">
        <v>0.87</v>
      </c>
      <c r="Q6" s="19" t="s">
        <v>29</v>
      </c>
      <c r="R6" s="20"/>
    </row>
    <row r="7" spans="1:18" x14ac:dyDescent="0.25">
      <c r="A7" s="10" t="s">
        <v>24</v>
      </c>
      <c r="B7" s="11">
        <v>4</v>
      </c>
      <c r="C7" s="13" t="s">
        <v>25</v>
      </c>
      <c r="D7" s="17">
        <v>43588</v>
      </c>
      <c r="E7" s="12" t="s">
        <v>30</v>
      </c>
      <c r="F7" s="19">
        <v>6.4</v>
      </c>
      <c r="G7" s="19">
        <v>53970</v>
      </c>
      <c r="H7" s="19">
        <v>35.700000000000003</v>
      </c>
      <c r="I7" s="19">
        <v>8.1999999999999993</v>
      </c>
      <c r="J7" s="19">
        <v>132</v>
      </c>
      <c r="K7" s="19">
        <v>108</v>
      </c>
      <c r="L7" s="26">
        <f t="shared" si="0"/>
        <v>24</v>
      </c>
      <c r="M7" s="19">
        <v>19</v>
      </c>
      <c r="N7" s="19">
        <v>15</v>
      </c>
      <c r="O7" s="26">
        <f t="shared" si="1"/>
        <v>4</v>
      </c>
      <c r="P7" s="19">
        <v>0.65</v>
      </c>
      <c r="Q7" s="19" t="s">
        <v>29</v>
      </c>
      <c r="R7" s="20"/>
    </row>
    <row r="8" spans="1:18" x14ac:dyDescent="0.25">
      <c r="A8" s="10" t="s">
        <v>24</v>
      </c>
      <c r="B8" s="11">
        <v>5</v>
      </c>
      <c r="C8" s="13" t="s">
        <v>25</v>
      </c>
      <c r="D8" s="17">
        <v>43588</v>
      </c>
      <c r="E8" s="12" t="s">
        <v>31</v>
      </c>
      <c r="F8" s="19">
        <v>4</v>
      </c>
      <c r="G8" s="19">
        <v>50090</v>
      </c>
      <c r="H8" s="19">
        <v>32.799999999999997</v>
      </c>
      <c r="I8" s="19">
        <v>8.1300000000000008</v>
      </c>
      <c r="J8" s="19">
        <v>367</v>
      </c>
      <c r="K8" s="19">
        <v>227</v>
      </c>
      <c r="L8" s="26">
        <f t="shared" si="0"/>
        <v>140</v>
      </c>
      <c r="M8" s="19">
        <v>32</v>
      </c>
      <c r="N8" s="19">
        <v>25</v>
      </c>
      <c r="O8" s="26">
        <f t="shared" si="1"/>
        <v>7</v>
      </c>
      <c r="P8" s="19">
        <v>0.51</v>
      </c>
      <c r="Q8" s="19" t="s">
        <v>29</v>
      </c>
      <c r="R8" s="20"/>
    </row>
    <row r="9" spans="1:18" x14ac:dyDescent="0.25">
      <c r="A9" s="10" t="s">
        <v>24</v>
      </c>
      <c r="B9" s="11">
        <v>6</v>
      </c>
      <c r="C9" s="13" t="s">
        <v>25</v>
      </c>
      <c r="D9" s="17">
        <v>43588</v>
      </c>
      <c r="E9" s="12" t="s">
        <v>32</v>
      </c>
      <c r="F9" s="19">
        <v>2</v>
      </c>
      <c r="G9" s="19">
        <v>53220</v>
      </c>
      <c r="H9" s="19">
        <v>35.1</v>
      </c>
      <c r="I9" s="19">
        <v>8.27</v>
      </c>
      <c r="J9" s="19">
        <v>98</v>
      </c>
      <c r="K9" s="19">
        <v>94</v>
      </c>
      <c r="L9" s="26">
        <f t="shared" si="0"/>
        <v>4</v>
      </c>
      <c r="M9" s="19">
        <v>14</v>
      </c>
      <c r="N9" s="19">
        <v>12</v>
      </c>
      <c r="O9" s="26">
        <f t="shared" si="1"/>
        <v>2</v>
      </c>
      <c r="P9" s="19">
        <v>0.65</v>
      </c>
      <c r="Q9" s="19">
        <v>0.35</v>
      </c>
      <c r="R9" s="19">
        <v>2</v>
      </c>
    </row>
    <row r="10" spans="1:18" x14ac:dyDescent="0.25">
      <c r="A10" s="10" t="s">
        <v>24</v>
      </c>
      <c r="B10" s="11">
        <v>7</v>
      </c>
      <c r="C10" s="10" t="s">
        <v>33</v>
      </c>
      <c r="D10" s="17">
        <v>43588</v>
      </c>
      <c r="E10" s="12" t="s">
        <v>34</v>
      </c>
      <c r="F10" s="19">
        <v>12</v>
      </c>
      <c r="G10" s="19">
        <v>53130</v>
      </c>
      <c r="H10" s="19">
        <v>35</v>
      </c>
      <c r="I10" s="19">
        <v>8.2100000000000009</v>
      </c>
      <c r="J10" s="19">
        <v>155</v>
      </c>
      <c r="K10" s="19">
        <v>115</v>
      </c>
      <c r="L10" s="26">
        <f t="shared" si="0"/>
        <v>40</v>
      </c>
      <c r="M10" s="19">
        <v>22</v>
      </c>
      <c r="N10" s="19">
        <v>15</v>
      </c>
      <c r="O10" s="26">
        <f t="shared" si="1"/>
        <v>7</v>
      </c>
      <c r="P10" s="19">
        <v>1.1599999999999999</v>
      </c>
      <c r="Q10" s="19">
        <v>0.52</v>
      </c>
      <c r="R10" s="20"/>
    </row>
    <row r="11" spans="1:18" x14ac:dyDescent="0.25">
      <c r="A11" s="13" t="s">
        <v>25</v>
      </c>
      <c r="B11" s="16"/>
      <c r="C11" s="13" t="s">
        <v>25</v>
      </c>
      <c r="D11" s="15"/>
      <c r="E11" s="14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</row>
  </sheetData>
  <pageMargins left="0.7" right="0.7" top="0.75" bottom="0.75" header="0.3" footer="0.3"/>
  <pageSetup paperSize="9" scale="45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E37C90-CF2B-49DC-831E-48E370200477}"/>
</file>

<file path=customXml/itemProps2.xml><?xml version="1.0" encoding="utf-8"?>
<ds:datastoreItem xmlns:ds="http://schemas.openxmlformats.org/officeDocument/2006/customXml" ds:itemID="{F80EB914-C7D3-4C84-A53A-228FC925EDFB}"/>
</file>

<file path=customXml/itemProps3.xml><?xml version="1.0" encoding="utf-8"?>
<ds:datastoreItem xmlns:ds="http://schemas.openxmlformats.org/officeDocument/2006/customXml" ds:itemID="{1EAB04AB-2102-4A71-9381-ABFEF858DD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Lims1 Results 16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Michelle Tink</cp:lastModifiedBy>
  <cp:lastPrinted>2019-06-21T02:50:55Z</cp:lastPrinted>
  <dcterms:created xsi:type="dcterms:W3CDTF">2019-06-20T06:54:00Z</dcterms:created>
  <dcterms:modified xsi:type="dcterms:W3CDTF">2019-06-21T02:51:49Z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
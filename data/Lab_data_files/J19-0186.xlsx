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1 - REPORTS\2019\Nathan\NQBP\"/>
    </mc:Choice>
  </mc:AlternateContent>
  <bookViews>
    <workbookView xWindow="0" yWindow="0" windowWidth="29010" windowHeight="14235"/>
  </bookViews>
  <sheets>
    <sheet name="Lims1 Results 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N6" i="1"/>
  <c r="N7" i="1"/>
  <c r="N4" i="1"/>
  <c r="K5" i="1"/>
  <c r="K6" i="1"/>
  <c r="K7" i="1"/>
  <c r="K4" i="1"/>
</calcChain>
</file>

<file path=xl/sharedStrings.xml><?xml version="1.0" encoding="utf-8"?>
<sst xmlns="http://schemas.openxmlformats.org/spreadsheetml/2006/main" count="42" uniqueCount="31">
  <si>
    <t>Reference</t>
  </si>
  <si>
    <t>Units</t>
  </si>
  <si>
    <t>Sample</t>
  </si>
  <si>
    <t>Date</t>
  </si>
  <si>
    <t>No.</t>
  </si>
  <si>
    <t>Bottle ID for Sample Bottle</t>
  </si>
  <si>
    <t>Total Suspended Solids</t>
  </si>
  <si>
    <t>mg/L</t>
  </si>
  <si>
    <t>pH</t>
  </si>
  <si>
    <t>Electrical Conductivity</t>
  </si>
  <si>
    <t>µS/cm</t>
  </si>
  <si>
    <t>Salinity</t>
  </si>
  <si>
    <t>PSU</t>
  </si>
  <si>
    <t>Total Nitrogen</t>
  </si>
  <si>
    <t>µg N/L</t>
  </si>
  <si>
    <t>Total Dissolved Nitrogen</t>
  </si>
  <si>
    <t>Total Phosphorus</t>
  </si>
  <si>
    <t>µg P/L</t>
  </si>
  <si>
    <t>Total Dissolved Phosphorus</t>
  </si>
  <si>
    <t>Chlorophyll-a</t>
  </si>
  <si>
    <t>µg/L</t>
  </si>
  <si>
    <t>Phaeophytin a</t>
  </si>
  <si>
    <t>J19-0186</t>
  </si>
  <si>
    <t/>
  </si>
  <si>
    <t>WP_AMB1</t>
  </si>
  <si>
    <t>&lt;0.2</t>
  </si>
  <si>
    <t>WP_AMB2</t>
  </si>
  <si>
    <t>WP_AMB3</t>
  </si>
  <si>
    <t>WP_AMB4</t>
  </si>
  <si>
    <t>PN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</si>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</sst>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3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  <font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  <xf numFmtId="0" fontId="1" fillId="0" borderId="0" xfId="0" applyNumberFormat="1" applyFont="1" applyAlignment="1"/>
    <xf numFmtId="49" fontId="1" fillId="2" borderId="0" xfId="0" applyNumberFormat="1" applyFont="1" applyFill="1" applyAlignment="1"/>
    <xf numFmtId="164" fontId="1" fillId="2" borderId="0" xfId="0" applyNumberFormat="1" applyFont="1" applyFill="1" applyAlignment="1"/>
    <xf numFmtId="0" fontId="1" fillId="2" borderId="0" xfId="0" applyFont="1" applyFill="1" applyAlignment="1"/>
    <xf numFmtId="0" fontId="1" fillId="2" borderId="0" xfId="0" applyNumberFormat="1" applyFont="1" applyFill="1" applyAlignment="1"/>
    <xf numFmtId="14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49" fontId="2" fillId="3" borderId="0" xfId="0" applyNumberFormat="1" applyFont="1" applyFill="1" applyBorder="1" applyAlignment="1">
      <alignment horizontal="center"/>
    </xf>
    <xf numFmtId="0" fontId="2" fillId="3" borderId="0" xfId="0" applyNumberFormat="1" applyFont="1" applyFill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tabSelected="1" workbookViewId="0">
      <selection activeCell="E9" sqref="E9:E10"/>
    </sheetView>
  </sheetViews>
  <sheetFormatPr defaultRowHeight="15" x14ac:dyDescent="0.25"/>
  <cols>
    <col min="2" max="2" width="9.28515625" bestFit="1" customWidth="1"/>
    <col min="3" max="3" width="22.5703125" bestFit="1" customWidth="1"/>
    <col min="5" max="5" width="20.42578125" style="18" bestFit="1" customWidth="1"/>
    <col min="6" max="6" width="9.28515625" style="18" bestFit="1" customWidth="1"/>
    <col min="7" max="7" width="18.85546875" style="18" bestFit="1" customWidth="1"/>
    <col min="8" max="8" width="6.85546875" style="18" bestFit="1" customWidth="1"/>
    <col min="9" max="9" width="12.5703125" style="18" bestFit="1" customWidth="1"/>
    <col min="10" max="10" width="21" style="18" bestFit="1" customWidth="1"/>
    <col min="11" max="11" width="15.5703125" style="18" customWidth="1"/>
    <col min="12" max="12" width="15.28515625" style="18" bestFit="1" customWidth="1"/>
    <col min="13" max="13" width="23.7109375" style="18" bestFit="1" customWidth="1"/>
    <col min="14" max="14" width="23.7109375" style="18" customWidth="1"/>
    <col min="15" max="15" width="11.7109375" style="18" bestFit="1" customWidth="1"/>
    <col min="16" max="16" width="12.42578125" style="18" bestFit="1" customWidth="1"/>
  </cols>
  <sheetData>
    <row r="1" spans="1:16" x14ac:dyDescent="0.25">
      <c r="A1" s="1" t="s">
        <v>0</v>
      </c>
      <c r="B1" s="2" t="s">
        <v>2</v>
      </c>
      <c r="C1" s="2" t="s">
        <v>2</v>
      </c>
      <c r="D1" s="2" t="s">
        <v>5</v>
      </c>
      <c r="E1" s="2" t="s">
        <v>6</v>
      </c>
      <c r="F1" s="2" t="s">
        <v>8</v>
      </c>
      <c r="G1" s="2" t="s">
        <v>9</v>
      </c>
      <c r="H1" s="2" t="s">
        <v>11</v>
      </c>
      <c r="I1" s="2" t="s">
        <v>13</v>
      </c>
      <c r="J1" s="2" t="s">
        <v>15</v>
      </c>
      <c r="K1" s="19" t="s">
        <v>29</v>
      </c>
      <c r="L1" s="2" t="s">
        <v>16</v>
      </c>
      <c r="M1" s="2" t="s">
        <v>18</v>
      </c>
      <c r="N1" s="22" t="s">
        <v>30</v>
      </c>
      <c r="O1" s="2" t="s">
        <v>19</v>
      </c>
      <c r="P1" s="3" t="s">
        <v>21</v>
      </c>
    </row>
    <row r="2" spans="1:16" x14ac:dyDescent="0.25">
      <c r="A2" s="4"/>
      <c r="B2" s="6" t="s">
        <v>4</v>
      </c>
      <c r="C2" s="6" t="s">
        <v>3</v>
      </c>
      <c r="D2" s="6"/>
      <c r="E2" s="6"/>
      <c r="F2" s="6"/>
      <c r="G2" s="6"/>
      <c r="H2" s="6"/>
      <c r="I2" s="6"/>
      <c r="J2" s="6"/>
      <c r="K2" s="20"/>
      <c r="L2" s="6"/>
      <c r="M2" s="6"/>
      <c r="N2" s="23"/>
      <c r="O2" s="6"/>
      <c r="P2" s="7"/>
    </row>
    <row r="3" spans="1:16" x14ac:dyDescent="0.25">
      <c r="A3" s="4" t="s">
        <v>1</v>
      </c>
      <c r="B3" s="5"/>
      <c r="C3" s="5"/>
      <c r="D3" s="6"/>
      <c r="E3" s="6" t="s">
        <v>7</v>
      </c>
      <c r="F3" s="6"/>
      <c r="G3" s="6" t="s">
        <v>10</v>
      </c>
      <c r="H3" s="6" t="s">
        <v>12</v>
      </c>
      <c r="I3" s="6" t="s">
        <v>14</v>
      </c>
      <c r="J3" s="6" t="s">
        <v>14</v>
      </c>
      <c r="K3" s="20" t="s">
        <v>14</v>
      </c>
      <c r="L3" s="6" t="s">
        <v>17</v>
      </c>
      <c r="M3" s="6" t="s">
        <v>17</v>
      </c>
      <c r="N3" s="23" t="s">
        <v>17</v>
      </c>
      <c r="O3" s="6" t="s">
        <v>20</v>
      </c>
      <c r="P3" s="7" t="s">
        <v>20</v>
      </c>
    </row>
    <row r="4" spans="1:16" x14ac:dyDescent="0.25">
      <c r="A4" s="8" t="s">
        <v>22</v>
      </c>
      <c r="B4" s="9">
        <v>1</v>
      </c>
      <c r="C4" s="15">
        <v>43655</v>
      </c>
      <c r="D4" s="10" t="s">
        <v>24</v>
      </c>
      <c r="E4" s="16">
        <v>8.4</v>
      </c>
      <c r="F4" s="16">
        <v>8.18</v>
      </c>
      <c r="G4" s="16">
        <v>50210</v>
      </c>
      <c r="H4" s="16">
        <v>32.9</v>
      </c>
      <c r="I4" s="16">
        <v>267</v>
      </c>
      <c r="J4" s="16">
        <v>118</v>
      </c>
      <c r="K4" s="21">
        <f>+I4-J4</f>
        <v>149</v>
      </c>
      <c r="L4" s="16">
        <v>7</v>
      </c>
      <c r="M4" s="16">
        <v>4</v>
      </c>
      <c r="N4" s="21">
        <f>+L4-M4</f>
        <v>3</v>
      </c>
      <c r="O4" s="16">
        <v>1.96</v>
      </c>
      <c r="P4" s="16" t="s">
        <v>25</v>
      </c>
    </row>
    <row r="5" spans="1:16" x14ac:dyDescent="0.25">
      <c r="A5" s="8" t="s">
        <v>22</v>
      </c>
      <c r="B5" s="9">
        <v>2</v>
      </c>
      <c r="C5" s="15">
        <v>43655</v>
      </c>
      <c r="D5" s="10" t="s">
        <v>26</v>
      </c>
      <c r="E5" s="16">
        <v>4.4000000000000004</v>
      </c>
      <c r="F5" s="16">
        <v>8.2899999999999991</v>
      </c>
      <c r="G5" s="16">
        <v>50810</v>
      </c>
      <c r="H5" s="16">
        <v>33.299999999999997</v>
      </c>
      <c r="I5" s="16">
        <v>142</v>
      </c>
      <c r="J5" s="16">
        <v>109</v>
      </c>
      <c r="K5" s="21">
        <f t="shared" ref="K5:K7" si="0">+I5-J5</f>
        <v>33</v>
      </c>
      <c r="L5" s="16">
        <v>6</v>
      </c>
      <c r="M5" s="16">
        <v>3</v>
      </c>
      <c r="N5" s="21">
        <f t="shared" ref="N5:N7" si="1">+L5-M5</f>
        <v>3</v>
      </c>
      <c r="O5" s="16">
        <v>1.54</v>
      </c>
      <c r="P5" s="16" t="s">
        <v>25</v>
      </c>
    </row>
    <row r="6" spans="1:16" x14ac:dyDescent="0.25">
      <c r="A6" s="8" t="s">
        <v>22</v>
      </c>
      <c r="B6" s="9">
        <v>3</v>
      </c>
      <c r="C6" s="15">
        <v>43656</v>
      </c>
      <c r="D6" s="10" t="s">
        <v>27</v>
      </c>
      <c r="E6" s="16">
        <v>2.9</v>
      </c>
      <c r="F6" s="16">
        <v>8.4</v>
      </c>
      <c r="G6" s="16">
        <v>50010</v>
      </c>
      <c r="H6" s="16">
        <v>32.700000000000003</v>
      </c>
      <c r="I6" s="16">
        <v>123</v>
      </c>
      <c r="J6" s="16">
        <v>104</v>
      </c>
      <c r="K6" s="21">
        <f t="shared" si="0"/>
        <v>19</v>
      </c>
      <c r="L6" s="16">
        <v>5</v>
      </c>
      <c r="M6" s="16">
        <v>4</v>
      </c>
      <c r="N6" s="21">
        <f t="shared" si="1"/>
        <v>1</v>
      </c>
      <c r="O6" s="16">
        <v>0.75</v>
      </c>
      <c r="P6" s="16">
        <v>0.23</v>
      </c>
    </row>
    <row r="7" spans="1:16" x14ac:dyDescent="0.25">
      <c r="A7" s="8" t="s">
        <v>22</v>
      </c>
      <c r="B7" s="9">
        <v>4</v>
      </c>
      <c r="C7" s="15">
        <v>43655</v>
      </c>
      <c r="D7" s="10" t="s">
        <v>28</v>
      </c>
      <c r="E7" s="16">
        <v>7.7</v>
      </c>
      <c r="F7" s="16">
        <v>8.24</v>
      </c>
      <c r="G7" s="16">
        <v>50300</v>
      </c>
      <c r="H7" s="16">
        <v>33</v>
      </c>
      <c r="I7" s="16">
        <v>170</v>
      </c>
      <c r="J7" s="16">
        <v>122</v>
      </c>
      <c r="K7" s="21">
        <f t="shared" si="0"/>
        <v>48</v>
      </c>
      <c r="L7" s="16">
        <v>7</v>
      </c>
      <c r="M7" s="16">
        <v>4</v>
      </c>
      <c r="N7" s="21">
        <f t="shared" si="1"/>
        <v>3</v>
      </c>
      <c r="O7" s="16">
        <v>1.95</v>
      </c>
      <c r="P7" s="16" t="s">
        <v>25</v>
      </c>
    </row>
    <row r="8" spans="1:16" x14ac:dyDescent="0.25">
      <c r="A8" s="11" t="s">
        <v>23</v>
      </c>
      <c r="B8" s="13"/>
      <c r="C8" s="12"/>
      <c r="D8" s="14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</row>
  </sheetData>
  <pageMargins left="0.7" right="0.7" top="0.75" bottom="0.75" header="0.3" footer="0.3"/>
  <pageSetup paperSize="9" scale="54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6405B1-7CA8-47B3-99BF-038469E5F82C}"/>
</file>

<file path=customXml/itemProps2.xml><?xml version="1.0" encoding="utf-8"?>
<ds:datastoreItem xmlns:ds="http://schemas.openxmlformats.org/officeDocument/2006/customXml" ds:itemID="{EEBE19A6-0F17-4637-95DD-E3CC49FDAD64}"/>
</file>

<file path=customXml/itemProps3.xml><?xml version="1.0" encoding="utf-8"?>
<ds:datastoreItem xmlns:ds="http://schemas.openxmlformats.org/officeDocument/2006/customXml" ds:itemID="{0296BBDF-72D4-409D-B7D2-1AC4781176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Lims1 Results 16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Michelle Tink</cp:lastModifiedBy>
  <cp:lastPrinted>2019-08-07T02:15:31Z</cp:lastPrinted>
  <dcterms:created xsi:type="dcterms:W3CDTF">2019-08-07T02:07:52Z</dcterms:created>
  <dcterms:modified xsi:type="dcterms:W3CDTF">2019-08-07T02:15:38Z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
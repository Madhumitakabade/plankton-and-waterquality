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1600" windowHeight="9150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<sst xmlns="http://schemas.openxmlformats.org/spreadsheetml/2006/main" count="270" uniqueCount="81">
  <si>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</si>
  <si>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</si>
  <si>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</si>
  <si>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</si>
  <si>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</si>
  <si>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</si>
  <si>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</si>
  <si>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</si>
  <si>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Salinity</t>
  </si>
  <si>
    <t>PSU</t>
  </si>
  <si>
    <t>pH</t>
  </si>
  <si>
    <t>Total Suspended Solids</t>
  </si>
  <si>
    <t>mg/L</t>
  </si>
  <si>
    <t>Silver UT</t>
  </si>
  <si>
    <t>µg/L</t>
  </si>
  <si>
    <t>Cadmium UT</t>
  </si>
  <si>
    <t>Copper UT</t>
  </si>
  <si>
    <t>Lead UT</t>
  </si>
  <si>
    <t>Nickel UT</t>
  </si>
  <si>
    <t>Arsenic UT</t>
  </si>
  <si>
    <t>Zinc UT</t>
  </si>
  <si>
    <t>Mercury</t>
  </si>
  <si>
    <t>Dissolved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</si>
  <si>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</si>
  <si>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</si>
  <si>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</si>
  <si>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</si>
  <si>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</si>
  <si>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</si>
  <si>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</si>
  <si>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Phaeophytin a</t>
  </si>
  <si>
    <t>J19-0246</t>
  </si>
  <si>
    <t>AP_AMB1</t>
  </si>
  <si>
    <t>&lt;0.1</t>
  </si>
  <si>
    <t>&lt;0.2</t>
  </si>
  <si>
    <t>&lt;1</t>
  </si>
  <si>
    <t>&lt;5</t>
  </si>
  <si>
    <t>&lt;0.0001</t>
  </si>
  <si>
    <t>AP_AMB2</t>
  </si>
  <si>
    <t>AP_AMB3</t>
  </si>
  <si>
    <t>AP_AMB4</t>
  </si>
  <si>
    <t>AP_AMB5</t>
  </si>
  <si>
    <t/>
  </si>
  <si>
    <t>PN</t>
  </si>
  <si>
    <t>PP</t>
  </si>
  <si>
    <t>EP234A: OP Pesticides</t>
  </si>
  <si>
    <t>Chlorpyrifos</t>
  </si>
  <si>
    <t>Malathion</t>
  </si>
  <si>
    <t>Diazinon</t>
  </si>
  <si>
    <t>Pirimiphos-methyl</t>
  </si>
  <si>
    <t>EP234B: Thiocarbamates and Carbamates</t>
  </si>
  <si>
    <t>Thiobencarb</t>
  </si>
  <si>
    <t>EP234C: Dinitroanilines</t>
  </si>
  <si>
    <t>Pendimethalin</t>
  </si>
  <si>
    <t>EP234D: Triazinone Herbicides</t>
  </si>
  <si>
    <t>Hexazinone</t>
  </si>
  <si>
    <t>EP234E: Conazole and Aminopyrimidine Fungicides</t>
  </si>
  <si>
    <t>Propiconazole</t>
  </si>
  <si>
    <t>Hexaconazole</t>
  </si>
  <si>
    <t>Difenoconazole</t>
  </si>
  <si>
    <t>Tebuconazole</t>
  </si>
  <si>
    <t>Flusilazole</t>
  </si>
  <si>
    <t>Penconazole</t>
  </si>
  <si>
    <t>EP234F: Phenylurea, Thizdiazolurea, Uracil and Sulfonylurea Herbicides</t>
  </si>
  <si>
    <t>Diuron</t>
  </si>
  <si>
    <t>EP234H: Triazine Herbicides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</si>
  <si>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</si>
  <si>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</si>
  <si>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</si>
  <si>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</si>
  <si>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</si>
  <si>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</si>
  <si>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</si>
  <si>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</si>
  <si>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</si>
  <si>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</si>
  <si>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0.0014</t>
  </si>
  <si>
    <t>0.0006</t>
  </si>
  <si>
    <t>0.0003</t>
  </si>
  <si>
    <t>0.0070</t>
  </si>
  <si>
    <t>0.0009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</si>
</sst>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0" borderId="7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0" fontId="0" fillId="0" borderId="0" xfId="0" applyFill="1"/>
    <xf numFmtId="0" fontId="2" fillId="0" borderId="10" xfId="0" applyNumberFormat="1" applyFont="1" applyFill="1" applyBorder="1" applyAlignment="1" applyProtection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13" xfId="0" applyBorder="1"/>
    <xf numFmtId="0" fontId="0" fillId="0" borderId="9" xfId="0" applyBorder="1"/>
    <xf numFmtId="0" fontId="3" fillId="0" borderId="15" xfId="0" applyNumberFormat="1" applyFont="1" applyFill="1" applyBorder="1" applyAlignment="1" applyProtection="1">
      <alignment horizontal="center"/>
    </xf>
    <xf numFmtId="0" fontId="3" fillId="0" borderId="16" xfId="0" applyNumberFormat="1" applyFont="1" applyFill="1" applyBorder="1" applyAlignment="1" applyProtection="1">
      <alignment horizontal="center"/>
    </xf>
    <xf numFmtId="0" fontId="2" fillId="0" borderId="1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2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tabSelected="1" workbookViewId="0">
      <selection activeCell="J15" sqref="J15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23" style="16" bestFit="1" customWidth="1"/>
    <col min="5" max="5" width="20.42578125" style="16" bestFit="1" customWidth="1"/>
    <col min="6" max="6" width="18.85546875" style="16" bestFit="1" customWidth="1"/>
    <col min="7" max="7" width="6.85546875" style="16" bestFit="1" customWidth="1"/>
    <col min="8" max="8" width="5" style="16" bestFit="1" customWidth="1"/>
    <col min="9" max="9" width="12.5703125" style="16" bestFit="1" customWidth="1"/>
    <col min="10" max="10" width="21" style="16" bestFit="1" customWidth="1"/>
    <col min="11" max="11" width="7.85546875" style="16" customWidth="1"/>
    <col min="12" max="12" width="15.28515625" style="16" bestFit="1" customWidth="1"/>
    <col min="13" max="13" width="23.7109375" style="16" bestFit="1" customWidth="1"/>
    <col min="14" max="14" width="8.140625" style="16" customWidth="1"/>
    <col min="15" max="15" width="11.7109375" style="16" bestFit="1" customWidth="1"/>
    <col min="16" max="16" width="12.42578125" style="16" bestFit="1" customWidth="1"/>
    <col min="17" max="17" width="8.42578125" style="16" bestFit="1" customWidth="1"/>
    <col min="18" max="18" width="11.5703125" style="16" bestFit="1" customWidth="1"/>
    <col min="19" max="19" width="9.7109375" style="16" bestFit="1" customWidth="1"/>
    <col min="20" max="20" width="7.7109375" style="16" bestFit="1" customWidth="1"/>
    <col min="21" max="21" width="8.5703125" style="16" bestFit="1" customWidth="1"/>
    <col min="22" max="22" width="9.85546875" style="16" bestFit="1" customWidth="1"/>
    <col min="23" max="23" width="7.140625" style="16" bestFit="1" customWidth="1"/>
    <col min="24" max="24" width="8.5703125" style="16" bestFit="1" customWidth="1"/>
  </cols>
  <sheetData>
    <row r="1" spans="1:24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11</v>
      </c>
      <c r="F1" s="2" t="s">
        <v>6</v>
      </c>
      <c r="G1" s="2" t="s">
        <v>8</v>
      </c>
      <c r="H1" s="2" t="s">
        <v>10</v>
      </c>
      <c r="I1" s="2" t="s">
        <v>23</v>
      </c>
      <c r="J1" s="2" t="s">
        <v>25</v>
      </c>
      <c r="K1" s="18" t="s">
        <v>43</v>
      </c>
      <c r="L1" s="2" t="s">
        <v>26</v>
      </c>
      <c r="M1" s="2" t="s">
        <v>28</v>
      </c>
      <c r="N1" s="20" t="s">
        <v>44</v>
      </c>
      <c r="O1" s="2" t="s">
        <v>29</v>
      </c>
      <c r="P1" s="3" t="s">
        <v>30</v>
      </c>
      <c r="Q1" s="2" t="s">
        <v>13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9"/>
      <c r="L2" s="6"/>
      <c r="M2" s="6"/>
      <c r="N2" s="20"/>
      <c r="O2" s="6"/>
      <c r="P2" s="7"/>
      <c r="Q2" s="6"/>
      <c r="R2" s="6"/>
      <c r="S2" s="6"/>
      <c r="T2" s="6"/>
      <c r="U2" s="6"/>
      <c r="V2" s="6"/>
      <c r="W2" s="6"/>
      <c r="X2" s="6" t="s">
        <v>22</v>
      </c>
    </row>
    <row r="3" spans="1:24" x14ac:dyDescent="0.25">
      <c r="A3" s="4" t="s">
        <v>1</v>
      </c>
      <c r="B3" s="5"/>
      <c r="C3" s="5"/>
      <c r="D3" s="6"/>
      <c r="E3" s="6" t="s">
        <v>12</v>
      </c>
      <c r="F3" s="6" t="s">
        <v>7</v>
      </c>
      <c r="G3" s="6" t="s">
        <v>9</v>
      </c>
      <c r="H3" s="6"/>
      <c r="I3" s="6" t="s">
        <v>24</v>
      </c>
      <c r="J3" s="6" t="s">
        <v>24</v>
      </c>
      <c r="K3" s="19" t="s">
        <v>24</v>
      </c>
      <c r="L3" s="6" t="s">
        <v>27</v>
      </c>
      <c r="M3" s="6" t="s">
        <v>27</v>
      </c>
      <c r="N3" s="20" t="s">
        <v>27</v>
      </c>
      <c r="O3" s="6" t="s">
        <v>14</v>
      </c>
      <c r="P3" s="7" t="s">
        <v>14</v>
      </c>
      <c r="Q3" s="6" t="s">
        <v>14</v>
      </c>
      <c r="R3" s="6" t="s">
        <v>14</v>
      </c>
      <c r="S3" s="6" t="s">
        <v>14</v>
      </c>
      <c r="T3" s="6" t="s">
        <v>14</v>
      </c>
      <c r="U3" s="6" t="s">
        <v>14</v>
      </c>
      <c r="V3" s="6" t="s">
        <v>14</v>
      </c>
      <c r="W3" s="6" t="s">
        <v>14</v>
      </c>
      <c r="X3" s="6" t="s">
        <v>12</v>
      </c>
    </row>
    <row r="4" spans="1:24" x14ac:dyDescent="0.25">
      <c r="A4" s="8" t="s">
        <v>31</v>
      </c>
      <c r="B4" s="9">
        <v>1</v>
      </c>
      <c r="C4" s="13">
        <v>43699</v>
      </c>
      <c r="D4" s="14" t="s">
        <v>32</v>
      </c>
      <c r="E4" s="14">
        <v>2</v>
      </c>
      <c r="F4" s="14">
        <v>41000</v>
      </c>
      <c r="G4" s="14">
        <v>26.2</v>
      </c>
      <c r="H4" s="14">
        <v>8.2799999999999994</v>
      </c>
      <c r="I4" s="14">
        <v>117</v>
      </c>
      <c r="J4" s="14">
        <v>94</v>
      </c>
      <c r="K4" s="20">
        <f>+I4-J4</f>
        <v>23</v>
      </c>
      <c r="L4" s="14">
        <v>10</v>
      </c>
      <c r="M4" s="14">
        <v>6</v>
      </c>
      <c r="N4" s="20">
        <f>+L4-M4</f>
        <v>4</v>
      </c>
      <c r="O4" s="14" t="s">
        <v>34</v>
      </c>
      <c r="P4" s="14" t="s">
        <v>34</v>
      </c>
      <c r="Q4" s="14" t="s">
        <v>33</v>
      </c>
      <c r="R4" s="14" t="s">
        <v>34</v>
      </c>
      <c r="S4" s="14" t="s">
        <v>35</v>
      </c>
      <c r="T4" s="14" t="s">
        <v>34</v>
      </c>
      <c r="U4" s="14">
        <v>3</v>
      </c>
      <c r="V4" s="14">
        <v>1.6</v>
      </c>
      <c r="W4" s="14" t="s">
        <v>36</v>
      </c>
      <c r="X4" s="14" t="s">
        <v>37</v>
      </c>
    </row>
    <row r="5" spans="1:24" x14ac:dyDescent="0.25">
      <c r="A5" s="8" t="s">
        <v>31</v>
      </c>
      <c r="B5" s="9">
        <v>2</v>
      </c>
      <c r="C5" s="13">
        <v>43699</v>
      </c>
      <c r="D5" s="14" t="s">
        <v>38</v>
      </c>
      <c r="E5" s="14">
        <v>2.6</v>
      </c>
      <c r="F5" s="14">
        <v>55010</v>
      </c>
      <c r="G5" s="14">
        <v>36.4</v>
      </c>
      <c r="H5" s="14">
        <v>8.2200000000000006</v>
      </c>
      <c r="I5" s="14">
        <v>106</v>
      </c>
      <c r="J5" s="14">
        <v>96</v>
      </c>
      <c r="K5" s="20">
        <f t="shared" ref="K5:K8" si="0">+I5-J5</f>
        <v>10</v>
      </c>
      <c r="L5" s="14">
        <v>9</v>
      </c>
      <c r="M5" s="14">
        <v>8</v>
      </c>
      <c r="N5" s="20">
        <f t="shared" ref="N5:N8" si="1">+L5-M5</f>
        <v>1</v>
      </c>
      <c r="O5" s="14">
        <v>0.25</v>
      </c>
      <c r="P5" s="14" t="s">
        <v>34</v>
      </c>
      <c r="Q5" s="14" t="s">
        <v>33</v>
      </c>
      <c r="R5" s="14" t="s">
        <v>34</v>
      </c>
      <c r="S5" s="14" t="s">
        <v>35</v>
      </c>
      <c r="T5" s="14">
        <v>0.5</v>
      </c>
      <c r="U5" s="14">
        <v>1.2</v>
      </c>
      <c r="V5" s="14">
        <v>1.6</v>
      </c>
      <c r="W5" s="14" t="s">
        <v>36</v>
      </c>
      <c r="X5" s="14" t="s">
        <v>37</v>
      </c>
    </row>
    <row r="6" spans="1:24" x14ac:dyDescent="0.25">
      <c r="A6" s="8" t="s">
        <v>31</v>
      </c>
      <c r="B6" s="9">
        <v>3</v>
      </c>
      <c r="C6" s="13">
        <v>43699</v>
      </c>
      <c r="D6" s="14" t="s">
        <v>39</v>
      </c>
      <c r="E6" s="14">
        <v>3.6</v>
      </c>
      <c r="F6" s="14">
        <v>54440</v>
      </c>
      <c r="G6" s="14">
        <v>36</v>
      </c>
      <c r="H6" s="14">
        <v>8.24</v>
      </c>
      <c r="I6" s="14">
        <v>115</v>
      </c>
      <c r="J6" s="14">
        <v>88</v>
      </c>
      <c r="K6" s="20">
        <f t="shared" si="0"/>
        <v>27</v>
      </c>
      <c r="L6" s="14">
        <v>12</v>
      </c>
      <c r="M6" s="14">
        <v>8</v>
      </c>
      <c r="N6" s="20">
        <f t="shared" si="1"/>
        <v>4</v>
      </c>
      <c r="O6" s="14">
        <v>0.33</v>
      </c>
      <c r="P6" s="14" t="s">
        <v>34</v>
      </c>
      <c r="Q6" s="14" t="s">
        <v>33</v>
      </c>
      <c r="R6" s="14" t="s">
        <v>34</v>
      </c>
      <c r="S6" s="14" t="s">
        <v>35</v>
      </c>
      <c r="T6" s="14">
        <v>0.4</v>
      </c>
      <c r="U6" s="14">
        <v>0.8</v>
      </c>
      <c r="V6" s="14">
        <v>1.5</v>
      </c>
      <c r="W6" s="14" t="s">
        <v>36</v>
      </c>
      <c r="X6" s="14" t="s">
        <v>37</v>
      </c>
    </row>
    <row r="7" spans="1:24" x14ac:dyDescent="0.25">
      <c r="A7" s="8" t="s">
        <v>31</v>
      </c>
      <c r="B7" s="9">
        <v>4</v>
      </c>
      <c r="C7" s="13">
        <v>43699</v>
      </c>
      <c r="D7" s="14" t="s">
        <v>40</v>
      </c>
      <c r="E7" s="14">
        <v>6</v>
      </c>
      <c r="F7" s="14">
        <v>54630</v>
      </c>
      <c r="G7" s="14">
        <v>36.200000000000003</v>
      </c>
      <c r="H7" s="14">
        <v>8.2100000000000009</v>
      </c>
      <c r="I7" s="14">
        <v>503</v>
      </c>
      <c r="J7" s="14">
        <v>91</v>
      </c>
      <c r="K7" s="20">
        <f t="shared" si="0"/>
        <v>412</v>
      </c>
      <c r="L7" s="14">
        <v>39</v>
      </c>
      <c r="M7" s="14">
        <v>7</v>
      </c>
      <c r="N7" s="20">
        <f t="shared" si="1"/>
        <v>32</v>
      </c>
      <c r="O7" s="14">
        <v>0.36</v>
      </c>
      <c r="P7" s="14" t="s">
        <v>34</v>
      </c>
      <c r="Q7" s="14" t="s">
        <v>33</v>
      </c>
      <c r="R7" s="14" t="s">
        <v>34</v>
      </c>
      <c r="S7" s="14" t="s">
        <v>35</v>
      </c>
      <c r="T7" s="14">
        <v>0.9</v>
      </c>
      <c r="U7" s="14">
        <v>0.8</v>
      </c>
      <c r="V7" s="14">
        <v>1.7</v>
      </c>
      <c r="W7" s="14" t="s">
        <v>36</v>
      </c>
      <c r="X7" s="14" t="s">
        <v>37</v>
      </c>
    </row>
    <row r="8" spans="1:24" x14ac:dyDescent="0.25">
      <c r="A8" s="8" t="s">
        <v>31</v>
      </c>
      <c r="B8" s="9">
        <v>5</v>
      </c>
      <c r="C8" s="13">
        <v>43700</v>
      </c>
      <c r="D8" s="14" t="s">
        <v>41</v>
      </c>
      <c r="E8" s="14">
        <v>1.6</v>
      </c>
      <c r="F8" s="14">
        <v>54160</v>
      </c>
      <c r="G8" s="14">
        <v>35.799999999999997</v>
      </c>
      <c r="H8" s="14">
        <v>8.1999999999999993</v>
      </c>
      <c r="I8" s="14">
        <v>96</v>
      </c>
      <c r="J8" s="14">
        <v>87</v>
      </c>
      <c r="K8" s="20">
        <f t="shared" si="0"/>
        <v>9</v>
      </c>
      <c r="L8" s="14">
        <v>11</v>
      </c>
      <c r="M8" s="14">
        <v>8</v>
      </c>
      <c r="N8" s="20">
        <f t="shared" si="1"/>
        <v>3</v>
      </c>
      <c r="O8" s="14" t="s">
        <v>34</v>
      </c>
      <c r="P8" s="14" t="s">
        <v>34</v>
      </c>
      <c r="Q8" s="14" t="s">
        <v>33</v>
      </c>
      <c r="R8" s="14" t="s">
        <v>34</v>
      </c>
      <c r="S8" s="14" t="s">
        <v>35</v>
      </c>
      <c r="T8" s="14">
        <v>0.6</v>
      </c>
      <c r="U8" s="14">
        <v>0.6</v>
      </c>
      <c r="V8" s="14">
        <v>1.6</v>
      </c>
      <c r="W8" s="14" t="s">
        <v>36</v>
      </c>
      <c r="X8" s="14" t="s">
        <v>37</v>
      </c>
    </row>
    <row r="9" spans="1:24" x14ac:dyDescent="0.25">
      <c r="A9" s="10" t="s">
        <v>42</v>
      </c>
      <c r="B9" s="12"/>
      <c r="C9" s="11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</sheetData>
  <pageMargins left="0.7" right="0.7" top="0.75" bottom="0.75" header="0.3" footer="0.3"/>
  <pageSetup scale="41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"/>
  <sheetViews>
    <sheetView workbookViewId="0">
      <selection activeCell="H9" sqref="H9"/>
    </sheetView>
  </sheetViews>
  <sheetFormatPr defaultRowHeight="15" x14ac:dyDescent="0.25"/>
  <cols>
    <col min="2" max="2" width="9.28515625" bestFit="1" customWidth="1"/>
    <col min="3" max="3" width="22.5703125" bestFit="1" customWidth="1"/>
    <col min="4" max="4" width="19.7109375" style="16" customWidth="1"/>
    <col min="5" max="5" width="11.85546875" bestFit="1" customWidth="1"/>
    <col min="6" max="6" width="9.42578125" customWidth="1"/>
    <col min="8" max="8" width="17.85546875" bestFit="1" customWidth="1"/>
    <col min="10" max="10" width="12.140625" customWidth="1"/>
    <col min="12" max="12" width="21.140625" customWidth="1"/>
    <col min="13" max="13" width="19.7109375" customWidth="1"/>
    <col min="16" max="16" width="12.42578125" customWidth="1"/>
    <col min="27" max="27" width="13.5703125" customWidth="1"/>
  </cols>
  <sheetData>
    <row r="1" spans="1:37" s="22" customFormat="1" x14ac:dyDescent="0.25">
      <c r="A1" s="21" t="s">
        <v>0</v>
      </c>
      <c r="B1" s="17" t="s">
        <v>2</v>
      </c>
      <c r="C1" s="17" t="s">
        <v>2</v>
      </c>
      <c r="D1" s="17" t="s">
        <v>5</v>
      </c>
      <c r="E1" s="38" t="s">
        <v>45</v>
      </c>
      <c r="F1" s="39"/>
      <c r="G1" s="39"/>
      <c r="H1" s="39"/>
      <c r="J1" s="23" t="s">
        <v>50</v>
      </c>
      <c r="M1" s="23" t="s">
        <v>52</v>
      </c>
      <c r="P1" s="23" t="s">
        <v>54</v>
      </c>
      <c r="S1" s="38" t="s">
        <v>56</v>
      </c>
      <c r="T1" s="39"/>
      <c r="U1" s="39"/>
      <c r="V1" s="39"/>
      <c r="W1" s="39"/>
      <c r="X1" s="40"/>
      <c r="AA1" s="23" t="s">
        <v>63</v>
      </c>
      <c r="AD1" s="38" t="s">
        <v>65</v>
      </c>
      <c r="AE1" s="39"/>
      <c r="AF1" s="39"/>
      <c r="AG1" s="39"/>
      <c r="AH1" s="39"/>
      <c r="AI1" s="39"/>
      <c r="AJ1" s="39"/>
      <c r="AK1" s="40"/>
    </row>
    <row r="2" spans="1:37" x14ac:dyDescent="0.25">
      <c r="A2" s="4"/>
      <c r="B2" s="6" t="s">
        <v>4</v>
      </c>
      <c r="C2" s="6" t="s">
        <v>3</v>
      </c>
      <c r="D2" s="6"/>
      <c r="E2" s="24" t="s">
        <v>46</v>
      </c>
      <c r="F2" s="25" t="s">
        <v>47</v>
      </c>
      <c r="G2" s="25" t="s">
        <v>48</v>
      </c>
      <c r="H2" s="25" t="s">
        <v>49</v>
      </c>
      <c r="J2" s="30" t="s">
        <v>51</v>
      </c>
      <c r="M2" s="30" t="s">
        <v>53</v>
      </c>
      <c r="P2" s="30" t="s">
        <v>55</v>
      </c>
      <c r="S2" s="32" t="s">
        <v>57</v>
      </c>
      <c r="T2" s="33" t="s">
        <v>58</v>
      </c>
      <c r="U2" s="33" t="s">
        <v>59</v>
      </c>
      <c r="V2" s="33" t="s">
        <v>60</v>
      </c>
      <c r="W2" s="33" t="s">
        <v>61</v>
      </c>
      <c r="X2" s="26" t="s">
        <v>62</v>
      </c>
      <c r="AA2" s="30" t="s">
        <v>64</v>
      </c>
      <c r="AD2" s="32" t="s">
        <v>66</v>
      </c>
      <c r="AE2" s="33" t="s">
        <v>67</v>
      </c>
      <c r="AF2" s="33" t="s">
        <v>68</v>
      </c>
      <c r="AG2" s="33" t="s">
        <v>69</v>
      </c>
      <c r="AH2" s="33" t="s">
        <v>70</v>
      </c>
      <c r="AI2" s="33" t="s">
        <v>71</v>
      </c>
      <c r="AJ2" s="33" t="s">
        <v>72</v>
      </c>
      <c r="AK2" s="26" t="s">
        <v>73</v>
      </c>
    </row>
    <row r="3" spans="1:37" x14ac:dyDescent="0.25">
      <c r="A3" s="4" t="s">
        <v>1</v>
      </c>
      <c r="B3" s="5"/>
      <c r="C3" s="5"/>
      <c r="D3" s="6"/>
      <c r="E3" s="24" t="s">
        <v>14</v>
      </c>
      <c r="F3" s="25" t="s">
        <v>14</v>
      </c>
      <c r="G3" s="25" t="s">
        <v>14</v>
      </c>
      <c r="H3" s="25" t="s">
        <v>14</v>
      </c>
      <c r="J3" s="30" t="s">
        <v>14</v>
      </c>
      <c r="M3" s="30" t="s">
        <v>14</v>
      </c>
      <c r="P3" s="30" t="s">
        <v>14</v>
      </c>
      <c r="S3" s="32" t="s">
        <v>14</v>
      </c>
      <c r="T3" s="33" t="s">
        <v>14</v>
      </c>
      <c r="U3" s="33" t="s">
        <v>14</v>
      </c>
      <c r="V3" s="33" t="s">
        <v>14</v>
      </c>
      <c r="W3" s="33" t="s">
        <v>14</v>
      </c>
      <c r="X3" s="26" t="s">
        <v>14</v>
      </c>
      <c r="AA3" s="30" t="s">
        <v>14</v>
      </c>
      <c r="AD3" s="32" t="s">
        <v>14</v>
      </c>
      <c r="AE3" s="33" t="s">
        <v>14</v>
      </c>
      <c r="AF3" s="33" t="s">
        <v>14</v>
      </c>
      <c r="AG3" s="33" t="s">
        <v>14</v>
      </c>
      <c r="AH3" s="33" t="s">
        <v>14</v>
      </c>
      <c r="AI3" s="33" t="s">
        <v>14</v>
      </c>
      <c r="AJ3" s="33" t="s">
        <v>14</v>
      </c>
      <c r="AK3" s="26" t="s">
        <v>14</v>
      </c>
    </row>
    <row r="4" spans="1:37" x14ac:dyDescent="0.25">
      <c r="A4" s="8" t="s">
        <v>31</v>
      </c>
      <c r="B4" s="9">
        <v>1</v>
      </c>
      <c r="C4" s="13">
        <v>43699</v>
      </c>
      <c r="D4" s="14" t="s">
        <v>32</v>
      </c>
      <c r="E4" s="24" t="s">
        <v>74</v>
      </c>
      <c r="F4" s="25" t="s">
        <v>74</v>
      </c>
      <c r="G4" s="25" t="s">
        <v>75</v>
      </c>
      <c r="H4" s="25" t="s">
        <v>75</v>
      </c>
      <c r="J4" s="30" t="s">
        <v>75</v>
      </c>
      <c r="M4" s="30" t="s">
        <v>74</v>
      </c>
      <c r="P4" s="30" t="s">
        <v>75</v>
      </c>
      <c r="S4" s="32" t="s">
        <v>75</v>
      </c>
      <c r="T4" s="33" t="s">
        <v>75</v>
      </c>
      <c r="U4" s="33" t="s">
        <v>75</v>
      </c>
      <c r="V4" s="33" t="s">
        <v>75</v>
      </c>
      <c r="W4" s="33" t="s">
        <v>75</v>
      </c>
      <c r="X4" s="26" t="s">
        <v>75</v>
      </c>
      <c r="AA4" s="36" t="s">
        <v>76</v>
      </c>
      <c r="AD4" s="32" t="s">
        <v>75</v>
      </c>
      <c r="AE4" s="33" t="s">
        <v>75</v>
      </c>
      <c r="AF4" s="33" t="s">
        <v>75</v>
      </c>
      <c r="AG4" s="33" t="s">
        <v>75</v>
      </c>
      <c r="AH4" s="33" t="s">
        <v>75</v>
      </c>
      <c r="AI4" s="33" t="s">
        <v>75</v>
      </c>
      <c r="AJ4" s="33" t="s">
        <v>75</v>
      </c>
      <c r="AK4" s="26" t="s">
        <v>75</v>
      </c>
    </row>
    <row r="5" spans="1:37" x14ac:dyDescent="0.25">
      <c r="A5" s="8" t="s">
        <v>31</v>
      </c>
      <c r="B5" s="9">
        <v>2</v>
      </c>
      <c r="C5" s="13">
        <v>43699</v>
      </c>
      <c r="D5" s="14" t="s">
        <v>38</v>
      </c>
      <c r="E5" s="24" t="s">
        <v>74</v>
      </c>
      <c r="F5" s="25" t="s">
        <v>74</v>
      </c>
      <c r="G5" s="25" t="s">
        <v>75</v>
      </c>
      <c r="H5" s="25" t="s">
        <v>75</v>
      </c>
      <c r="J5" s="30" t="s">
        <v>75</v>
      </c>
      <c r="M5" s="30" t="s">
        <v>74</v>
      </c>
      <c r="P5" s="30" t="s">
        <v>75</v>
      </c>
      <c r="S5" s="32" t="s">
        <v>75</v>
      </c>
      <c r="T5" s="33" t="s">
        <v>75</v>
      </c>
      <c r="U5" s="33" t="s">
        <v>75</v>
      </c>
      <c r="V5" s="33" t="s">
        <v>75</v>
      </c>
      <c r="W5" s="33" t="s">
        <v>75</v>
      </c>
      <c r="X5" s="26" t="s">
        <v>75</v>
      </c>
      <c r="AA5" s="36" t="s">
        <v>77</v>
      </c>
      <c r="AD5" s="32" t="s">
        <v>75</v>
      </c>
      <c r="AE5" s="33" t="s">
        <v>75</v>
      </c>
      <c r="AF5" s="33" t="s">
        <v>75</v>
      </c>
      <c r="AG5" s="33" t="s">
        <v>75</v>
      </c>
      <c r="AH5" s="33" t="s">
        <v>75</v>
      </c>
      <c r="AI5" s="33" t="s">
        <v>75</v>
      </c>
      <c r="AJ5" s="33" t="s">
        <v>75</v>
      </c>
      <c r="AK5" s="26" t="s">
        <v>75</v>
      </c>
    </row>
    <row r="6" spans="1:37" x14ac:dyDescent="0.25">
      <c r="A6" s="8" t="s">
        <v>31</v>
      </c>
      <c r="B6" s="9">
        <v>3</v>
      </c>
      <c r="C6" s="13">
        <v>43699</v>
      </c>
      <c r="D6" s="14" t="s">
        <v>39</v>
      </c>
      <c r="E6" s="24" t="s">
        <v>74</v>
      </c>
      <c r="F6" s="25" t="s">
        <v>74</v>
      </c>
      <c r="G6" s="25" t="s">
        <v>75</v>
      </c>
      <c r="H6" s="25" t="s">
        <v>75</v>
      </c>
      <c r="J6" s="30" t="s">
        <v>75</v>
      </c>
      <c r="M6" s="30" t="s">
        <v>74</v>
      </c>
      <c r="P6" s="30" t="s">
        <v>75</v>
      </c>
      <c r="S6" s="32" t="s">
        <v>75</v>
      </c>
      <c r="T6" s="33" t="s">
        <v>75</v>
      </c>
      <c r="U6" s="33" t="s">
        <v>75</v>
      </c>
      <c r="V6" s="33" t="s">
        <v>75</v>
      </c>
      <c r="W6" s="33" t="s">
        <v>75</v>
      </c>
      <c r="X6" s="26" t="s">
        <v>75</v>
      </c>
      <c r="AA6" s="36" t="s">
        <v>78</v>
      </c>
      <c r="AD6" s="32" t="s">
        <v>75</v>
      </c>
      <c r="AE6" s="33" t="s">
        <v>75</v>
      </c>
      <c r="AF6" s="33" t="s">
        <v>75</v>
      </c>
      <c r="AG6" s="33" t="s">
        <v>75</v>
      </c>
      <c r="AH6" s="33" t="s">
        <v>75</v>
      </c>
      <c r="AI6" s="33" t="s">
        <v>75</v>
      </c>
      <c r="AJ6" s="33" t="s">
        <v>75</v>
      </c>
      <c r="AK6" s="26" t="s">
        <v>75</v>
      </c>
    </row>
    <row r="7" spans="1:37" x14ac:dyDescent="0.25">
      <c r="A7" s="8" t="s">
        <v>31</v>
      </c>
      <c r="B7" s="9">
        <v>4</v>
      </c>
      <c r="C7" s="13">
        <v>43699</v>
      </c>
      <c r="D7" s="14" t="s">
        <v>40</v>
      </c>
      <c r="E7" s="24" t="s">
        <v>74</v>
      </c>
      <c r="F7" s="25" t="s">
        <v>74</v>
      </c>
      <c r="G7" s="25" t="s">
        <v>75</v>
      </c>
      <c r="H7" s="25" t="s">
        <v>75</v>
      </c>
      <c r="J7" s="30" t="s">
        <v>75</v>
      </c>
      <c r="M7" s="30" t="s">
        <v>74</v>
      </c>
      <c r="P7" s="30" t="s">
        <v>75</v>
      </c>
      <c r="S7" s="32" t="s">
        <v>75</v>
      </c>
      <c r="T7" s="33" t="s">
        <v>75</v>
      </c>
      <c r="U7" s="33" t="s">
        <v>75</v>
      </c>
      <c r="V7" s="33" t="s">
        <v>75</v>
      </c>
      <c r="W7" s="33" t="s">
        <v>75</v>
      </c>
      <c r="X7" s="26" t="s">
        <v>75</v>
      </c>
      <c r="AA7" s="36" t="s">
        <v>79</v>
      </c>
      <c r="AD7" s="32" t="s">
        <v>75</v>
      </c>
      <c r="AE7" s="33" t="s">
        <v>75</v>
      </c>
      <c r="AF7" s="33" t="s">
        <v>75</v>
      </c>
      <c r="AG7" s="33" t="s">
        <v>75</v>
      </c>
      <c r="AH7" s="33" t="s">
        <v>75</v>
      </c>
      <c r="AI7" s="33" t="s">
        <v>75</v>
      </c>
      <c r="AJ7" s="33" t="s">
        <v>75</v>
      </c>
      <c r="AK7" s="26" t="s">
        <v>75</v>
      </c>
    </row>
    <row r="8" spans="1:37" x14ac:dyDescent="0.25">
      <c r="A8" s="8" t="s">
        <v>31</v>
      </c>
      <c r="B8" s="9">
        <v>5</v>
      </c>
      <c r="C8" s="13">
        <v>43700</v>
      </c>
      <c r="D8" s="14" t="s">
        <v>41</v>
      </c>
      <c r="E8" s="27" t="s">
        <v>74</v>
      </c>
      <c r="F8" s="28" t="s">
        <v>74</v>
      </c>
      <c r="G8" s="28" t="s">
        <v>75</v>
      </c>
      <c r="H8" s="28" t="s">
        <v>75</v>
      </c>
      <c r="J8" s="31" t="s">
        <v>75</v>
      </c>
      <c r="M8" s="31" t="s">
        <v>74</v>
      </c>
      <c r="P8" s="31" t="s">
        <v>75</v>
      </c>
      <c r="S8" s="34" t="s">
        <v>75</v>
      </c>
      <c r="T8" s="35" t="s">
        <v>75</v>
      </c>
      <c r="U8" s="35" t="s">
        <v>75</v>
      </c>
      <c r="V8" s="35" t="s">
        <v>75</v>
      </c>
      <c r="W8" s="35" t="s">
        <v>75</v>
      </c>
      <c r="X8" s="29" t="s">
        <v>75</v>
      </c>
      <c r="AA8" s="37" t="s">
        <v>80</v>
      </c>
      <c r="AD8" s="34" t="s">
        <v>75</v>
      </c>
      <c r="AE8" s="35" t="s">
        <v>75</v>
      </c>
      <c r="AF8" s="35" t="s">
        <v>75</v>
      </c>
      <c r="AG8" s="35" t="s">
        <v>75</v>
      </c>
      <c r="AH8" s="35" t="s">
        <v>75</v>
      </c>
      <c r="AI8" s="35" t="s">
        <v>75</v>
      </c>
      <c r="AJ8" s="35" t="s">
        <v>75</v>
      </c>
      <c r="AK8" s="29" t="s">
        <v>75</v>
      </c>
    </row>
    <row r="9" spans="1:37" x14ac:dyDescent="0.25">
      <c r="A9" s="10" t="s">
        <v>42</v>
      </c>
      <c r="B9" s="12"/>
      <c r="C9" s="11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</sheetData>
  <mergeCells count="3">
    <mergeCell ref="E1:H1"/>
    <mergeCell ref="AD1:AK1"/>
    <mergeCell ref="S1: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832F7F-2BC8-42E8-89B0-6EE4E3431D33}"/>
</file>

<file path=customXml/itemProps2.xml><?xml version="1.0" encoding="utf-8"?>
<ds:datastoreItem xmlns:ds="http://schemas.openxmlformats.org/officeDocument/2006/customXml" ds:itemID="{D5E29EA7-14F7-4ACA-8FC9-758CAD50295B}"/>
</file>

<file path=customXml/itemProps3.xml><?xml version="1.0" encoding="utf-8"?>
<ds:datastoreItem xmlns:ds="http://schemas.openxmlformats.org/officeDocument/2006/customXml" ds:itemID="{A669527D-1444-4706-9D1E-8045B1910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2019-11-29T04:55:15Z</cp:lastPrinted>
  <dcterms:created xsi:type="dcterms:W3CDTF">2019-11-29T04:28:29Z</dcterms:created>
  <dcterms:modified xsi:type="dcterms:W3CDTF">2019-12-03T02:04:13Z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
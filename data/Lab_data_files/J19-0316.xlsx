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<sst xmlns="http://schemas.openxmlformats.org/spreadsheetml/2006/main" count="45" uniqueCount="32">
  <si>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</si>
  <si>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</si>
  <si>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</si>
  <si>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</si>
  <si>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</si>
  <si>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</si>
  <si>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</si>
  <si>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</si>
  <si>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</si>
  <si>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</si>
  <si>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pH</t>
  </si>
  <si>
    <t>Total Suspended Solids</t>
  </si>
  <si>
    <t>mg/L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</si>
  <si>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</si>
  <si>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</si>
  <si>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</si>
  <si>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</si>
  <si>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</si>
  <si>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</si>
  <si>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</si>
  <si>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</si>
  <si>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</si>
  <si>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J19-0316</t>
  </si>
  <si>
    <t/>
  </si>
  <si>
    <t>AP_AMB1</t>
  </si>
  <si>
    <t>&lt;0.2</t>
  </si>
  <si>
    <t>AP_AMB2</t>
  </si>
  <si>
    <t>AP_AMB3</t>
  </si>
  <si>
    <t>AP_AMB4</t>
  </si>
  <si>
    <t>AP_AMB5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</si>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</sst>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0" fontId="1" fillId="2" borderId="0" xfId="0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tabSelected="1" workbookViewId="0">
      <selection activeCell="G14" sqref="G14"/>
    </sheetView>
  </sheetViews>
  <sheetFormatPr defaultRowHeight="15" x14ac:dyDescent="0.25"/>
  <cols>
    <col min="2" max="2" width="9.28515625" bestFit="1" customWidth="1"/>
    <col min="3" max="3" width="21.85546875" style="18" bestFit="1" customWidth="1"/>
    <col min="4" max="4" width="9.140625" style="19"/>
    <col min="5" max="5" width="20.42578125" style="18" bestFit="1" customWidth="1"/>
    <col min="6" max="6" width="18.85546875" style="18" bestFit="1" customWidth="1"/>
    <col min="7" max="8" width="9.28515625" style="18" bestFit="1" customWidth="1"/>
    <col min="9" max="9" width="12.5703125" style="18" bestFit="1" customWidth="1"/>
    <col min="10" max="10" width="21" style="18" bestFit="1" customWidth="1"/>
    <col min="11" max="11" width="12.5703125" style="18" customWidth="1"/>
    <col min="12" max="12" width="15.28515625" style="18" bestFit="1" customWidth="1"/>
    <col min="13" max="13" width="23.7109375" style="18" bestFit="1" customWidth="1"/>
    <col min="14" max="14" width="14.2851562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3" t="s">
        <v>0</v>
      </c>
      <c r="B1" s="4" t="s">
        <v>2</v>
      </c>
      <c r="C1" s="4" t="s">
        <v>2</v>
      </c>
      <c r="D1" s="1" t="s">
        <v>5</v>
      </c>
      <c r="E1" s="4" t="s">
        <v>11</v>
      </c>
      <c r="F1" s="4" t="s">
        <v>6</v>
      </c>
      <c r="G1" s="4" t="s">
        <v>8</v>
      </c>
      <c r="H1" s="4" t="s">
        <v>10</v>
      </c>
      <c r="I1" s="4" t="s">
        <v>13</v>
      </c>
      <c r="J1" s="4" t="s">
        <v>15</v>
      </c>
      <c r="K1" s="22" t="s">
        <v>30</v>
      </c>
      <c r="L1" s="4" t="s">
        <v>16</v>
      </c>
      <c r="M1" s="4" t="s">
        <v>18</v>
      </c>
      <c r="N1" s="22" t="s">
        <v>31</v>
      </c>
      <c r="O1" s="4" t="s">
        <v>19</v>
      </c>
      <c r="P1" s="5" t="s">
        <v>21</v>
      </c>
    </row>
    <row r="2" spans="1:16" x14ac:dyDescent="0.25">
      <c r="A2" s="6"/>
      <c r="B2" s="8" t="s">
        <v>4</v>
      </c>
      <c r="C2" s="8" t="s">
        <v>3</v>
      </c>
      <c r="D2" s="2"/>
      <c r="E2" s="8"/>
      <c r="F2" s="8"/>
      <c r="G2" s="8"/>
      <c r="H2" s="8"/>
      <c r="I2" s="8"/>
      <c r="J2" s="8"/>
      <c r="K2" s="23"/>
      <c r="L2" s="8"/>
      <c r="M2" s="8"/>
      <c r="N2" s="23"/>
      <c r="O2" s="8"/>
      <c r="P2" s="9"/>
    </row>
    <row r="3" spans="1:16" x14ac:dyDescent="0.25">
      <c r="A3" s="6" t="s">
        <v>1</v>
      </c>
      <c r="B3" s="7"/>
      <c r="C3" s="7"/>
      <c r="D3" s="2"/>
      <c r="E3" s="8" t="s">
        <v>12</v>
      </c>
      <c r="F3" s="8" t="s">
        <v>7</v>
      </c>
      <c r="G3" s="8" t="s">
        <v>9</v>
      </c>
      <c r="H3" s="8"/>
      <c r="I3" s="8" t="s">
        <v>14</v>
      </c>
      <c r="J3" s="8" t="s">
        <v>14</v>
      </c>
      <c r="K3" s="23" t="s">
        <v>14</v>
      </c>
      <c r="L3" s="8" t="s">
        <v>17</v>
      </c>
      <c r="M3" s="8" t="s">
        <v>17</v>
      </c>
      <c r="N3" s="23" t="s">
        <v>17</v>
      </c>
      <c r="O3" s="8" t="s">
        <v>20</v>
      </c>
      <c r="P3" s="9" t="s">
        <v>20</v>
      </c>
    </row>
    <row r="4" spans="1:16" x14ac:dyDescent="0.25">
      <c r="A4" s="10" t="s">
        <v>22</v>
      </c>
      <c r="B4" s="11">
        <v>1</v>
      </c>
      <c r="C4" s="20">
        <v>43752</v>
      </c>
      <c r="D4" s="12" t="s">
        <v>24</v>
      </c>
      <c r="E4" s="16">
        <v>6.3</v>
      </c>
      <c r="F4" s="16">
        <v>54380</v>
      </c>
      <c r="G4" s="16">
        <v>36</v>
      </c>
      <c r="H4" s="16">
        <v>8.25</v>
      </c>
      <c r="I4" s="16">
        <v>142</v>
      </c>
      <c r="J4" s="16">
        <v>126</v>
      </c>
      <c r="K4" s="24">
        <f>+I4-J4</f>
        <v>16</v>
      </c>
      <c r="L4" s="16">
        <v>9</v>
      </c>
      <c r="M4" s="16">
        <v>6</v>
      </c>
      <c r="N4" s="24">
        <f>+L4-M4</f>
        <v>3</v>
      </c>
      <c r="O4" s="16">
        <v>0.28999999999999998</v>
      </c>
      <c r="P4" s="16" t="s">
        <v>25</v>
      </c>
    </row>
    <row r="5" spans="1:16" x14ac:dyDescent="0.25">
      <c r="A5" s="10" t="s">
        <v>22</v>
      </c>
      <c r="B5" s="11">
        <v>2</v>
      </c>
      <c r="C5" s="20">
        <v>43752</v>
      </c>
      <c r="D5" s="12" t="s">
        <v>26</v>
      </c>
      <c r="E5" s="16">
        <v>7.6</v>
      </c>
      <c r="F5" s="16">
        <v>54400</v>
      </c>
      <c r="G5" s="16">
        <v>36</v>
      </c>
      <c r="H5" s="16">
        <v>8.2100000000000009</v>
      </c>
      <c r="I5" s="16">
        <v>157</v>
      </c>
      <c r="J5" s="16">
        <v>135</v>
      </c>
      <c r="K5" s="24">
        <f t="shared" ref="K5:K8" si="0">+I5-J5</f>
        <v>22</v>
      </c>
      <c r="L5" s="16">
        <v>8</v>
      </c>
      <c r="M5" s="16">
        <v>7</v>
      </c>
      <c r="N5" s="24">
        <f t="shared" ref="N5:N8" si="1">+L5-M5</f>
        <v>1</v>
      </c>
      <c r="O5" s="16">
        <v>0.23</v>
      </c>
      <c r="P5" s="16">
        <v>0.23</v>
      </c>
    </row>
    <row r="6" spans="1:16" x14ac:dyDescent="0.25">
      <c r="A6" s="10" t="s">
        <v>22</v>
      </c>
      <c r="B6" s="11">
        <v>3</v>
      </c>
      <c r="C6" s="20">
        <v>43752</v>
      </c>
      <c r="D6" s="12" t="s">
        <v>27</v>
      </c>
      <c r="E6" s="16">
        <v>4.0999999999999996</v>
      </c>
      <c r="F6" s="16">
        <v>54790</v>
      </c>
      <c r="G6" s="16">
        <v>36.299999999999997</v>
      </c>
      <c r="H6" s="16">
        <v>8.2100000000000009</v>
      </c>
      <c r="I6" s="16">
        <v>162</v>
      </c>
      <c r="J6" s="16">
        <v>161</v>
      </c>
      <c r="K6" s="24">
        <f t="shared" si="0"/>
        <v>1</v>
      </c>
      <c r="L6" s="16">
        <v>7</v>
      </c>
      <c r="M6" s="16">
        <v>6</v>
      </c>
      <c r="N6" s="24">
        <f t="shared" si="1"/>
        <v>1</v>
      </c>
      <c r="O6" s="16">
        <v>0.42</v>
      </c>
      <c r="P6" s="16">
        <v>0.2</v>
      </c>
    </row>
    <row r="7" spans="1:16" x14ac:dyDescent="0.25">
      <c r="A7" s="10" t="s">
        <v>22</v>
      </c>
      <c r="B7" s="11">
        <v>4</v>
      </c>
      <c r="C7" s="20">
        <v>43752</v>
      </c>
      <c r="D7" s="12" t="s">
        <v>28</v>
      </c>
      <c r="E7" s="16">
        <v>4.3</v>
      </c>
      <c r="F7" s="16">
        <v>54620</v>
      </c>
      <c r="G7" s="16">
        <v>36.200000000000003</v>
      </c>
      <c r="H7" s="16">
        <v>8.18</v>
      </c>
      <c r="I7" s="16">
        <v>179</v>
      </c>
      <c r="J7" s="16">
        <v>139</v>
      </c>
      <c r="K7" s="24">
        <f t="shared" si="0"/>
        <v>40</v>
      </c>
      <c r="L7" s="16">
        <v>7</v>
      </c>
      <c r="M7" s="16">
        <v>5</v>
      </c>
      <c r="N7" s="24">
        <f t="shared" si="1"/>
        <v>2</v>
      </c>
      <c r="O7" s="16">
        <v>0.26</v>
      </c>
      <c r="P7" s="16" t="s">
        <v>25</v>
      </c>
    </row>
    <row r="8" spans="1:16" x14ac:dyDescent="0.25">
      <c r="A8" s="10" t="s">
        <v>22</v>
      </c>
      <c r="B8" s="11">
        <v>5</v>
      </c>
      <c r="C8" s="20">
        <v>43752</v>
      </c>
      <c r="D8" s="12" t="s">
        <v>29</v>
      </c>
      <c r="E8" s="16">
        <v>1.1000000000000001</v>
      </c>
      <c r="F8" s="16">
        <v>53910</v>
      </c>
      <c r="G8" s="16">
        <v>35.6</v>
      </c>
      <c r="H8" s="16">
        <v>8.25</v>
      </c>
      <c r="I8" s="16">
        <v>167</v>
      </c>
      <c r="J8" s="16">
        <v>138</v>
      </c>
      <c r="K8" s="24">
        <f t="shared" si="0"/>
        <v>29</v>
      </c>
      <c r="L8" s="16">
        <v>7</v>
      </c>
      <c r="M8" s="16">
        <v>6</v>
      </c>
      <c r="N8" s="24">
        <f t="shared" si="1"/>
        <v>1</v>
      </c>
      <c r="O8" s="16" t="s">
        <v>25</v>
      </c>
      <c r="P8" s="16" t="s">
        <v>25</v>
      </c>
    </row>
    <row r="9" spans="1:16" x14ac:dyDescent="0.25">
      <c r="A9" s="13" t="s">
        <v>23</v>
      </c>
      <c r="B9" s="15"/>
      <c r="C9" s="21"/>
      <c r="D9" s="14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paperSize="9" scale="58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2000EB-8C53-4226-9772-588BAA5982AD}"/>
</file>

<file path=customXml/itemProps2.xml><?xml version="1.0" encoding="utf-8"?>
<ds:datastoreItem xmlns:ds="http://schemas.openxmlformats.org/officeDocument/2006/customXml" ds:itemID="{200A476E-82C6-400D-9E73-EA9CC06557C8}"/>
</file>

<file path=customXml/itemProps3.xml><?xml version="1.0" encoding="utf-8"?>
<ds:datastoreItem xmlns:ds="http://schemas.openxmlformats.org/officeDocument/2006/customXml" ds:itemID="{0727EDC8-7862-49B1-80B2-3D08BCE9D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2019-11-29T07:13:09Z</cp:lastPrinted>
  <dcterms:created xsi:type="dcterms:W3CDTF">2019-11-29T07:09:10Z</dcterms:created>
  <dcterms:modified xsi:type="dcterms:W3CDTF">2019-12-03T01:59:45Z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
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c559751\Dropbox\Waltham Projects\NQBP Project\NQBP Data\TropWATER lab reports\Water chemistry\"/>
    </mc:Choice>
  </mc:AlternateContent>
  <bookViews>
    <workbookView xWindow="0" yWindow="0" windowWidth="25200" windowHeight="11400"/>
  </bookViews>
  <sheets>
    <sheet name="Lims1 Results 1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" i="1" l="1"/>
  <c r="O6" i="1"/>
  <c r="O7" i="1"/>
  <c r="O8" i="1"/>
  <c r="O9" i="1"/>
  <c r="O10" i="1"/>
  <c r="O11" i="1"/>
  <c r="O12" i="1"/>
  <c r="O13" i="1"/>
  <c r="O14" i="1"/>
  <c r="O15" i="1"/>
  <c r="O4" i="1"/>
  <c r="K5" i="1"/>
  <c r="K6" i="1"/>
  <c r="K7" i="1"/>
  <c r="K8" i="1"/>
  <c r="K9" i="1"/>
  <c r="K10" i="1"/>
  <c r="K11" i="1"/>
  <c r="K12" i="1"/>
  <c r="K13" i="1"/>
  <c r="K14" i="1"/>
  <c r="K15" i="1"/>
  <c r="K4" i="1"/>
</calcChain>
</file>

<file path=xl/sharedStrings.xml><?xml version="1.0" encoding="utf-8"?>
<sst xmlns="http://schemas.openxmlformats.org/spreadsheetml/2006/main" count="63" uniqueCount="41">
  <si>
    <t>Reference</t>
  </si>
  <si>
    <t>Units</t>
  </si>
  <si>
    <t>Sample</t>
  </si>
  <si>
    <t>Date</t>
  </si>
  <si>
    <t>No.</t>
  </si>
  <si>
    <t>Bottle ID for Sample Bottle</t>
  </si>
  <si>
    <t>Electrical Conductivity</t>
  </si>
  <si>
    <t>µS/cm</t>
  </si>
  <si>
    <t>pH</t>
  </si>
  <si>
    <t>Total Suspended Solids</t>
  </si>
  <si>
    <t>mg/L</t>
  </si>
  <si>
    <t>Salinity</t>
  </si>
  <si>
    <t>PSU</t>
  </si>
  <si>
    <t>Total Nitrogen</t>
  </si>
  <si>
    <t>µg N/L</t>
  </si>
  <si>
    <t>Total Dissolved Nitrogen</t>
  </si>
  <si>
    <t>Total Phosphorus</t>
  </si>
  <si>
    <t>µg P/L</t>
  </si>
  <si>
    <t>Total Dissolved Phosphorus</t>
  </si>
  <si>
    <t>Chlorophyll-a</t>
  </si>
  <si>
    <t>µg/L</t>
  </si>
  <si>
    <t>Phaeophytin a</t>
  </si>
  <si>
    <t>Oxidized Nitrogen</t>
  </si>
  <si>
    <t>J19-0347</t>
  </si>
  <si>
    <t/>
  </si>
  <si>
    <t>AMB1</t>
  </si>
  <si>
    <t>AMB2</t>
  </si>
  <si>
    <t>AMB3B</t>
  </si>
  <si>
    <t>AMB5</t>
  </si>
  <si>
    <t>AMB6B</t>
  </si>
  <si>
    <t>&lt;0.2</t>
  </si>
  <si>
    <t>AMB8</t>
  </si>
  <si>
    <t>AMB10</t>
  </si>
  <si>
    <t>AMB11</t>
  </si>
  <si>
    <t>AMB12</t>
  </si>
  <si>
    <t>&lt;1</t>
  </si>
  <si>
    <t>CAM1</t>
  </si>
  <si>
    <t>CAM2</t>
  </si>
  <si>
    <t>CAM3</t>
  </si>
  <si>
    <t>PN</t>
  </si>
  <si>
    <t>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</si>
</sst>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/yyyy\ h:mm\ \Am\Pm"/>
  </numFmts>
  <fonts count="2" x14ac:knownFonts="1">
    <font>
      <sz val="11"/>
      <color theme="1"/>
      <name val="Calibri"/>
      <family val="2"/>
      <scheme val="minor"/>
    </font>
    <font>
      <sz val="10"/>
      <color rgb="FF08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 tint="-0.24994659260841701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  <xf numFmtId="0" fontId="1" fillId="0" borderId="0" xfId="0" applyNumberFormat="1" applyFont="1" applyAlignment="1"/>
    <xf numFmtId="49" fontId="1" fillId="2" borderId="0" xfId="0" applyNumberFormat="1" applyFont="1" applyFill="1" applyAlignment="1"/>
    <xf numFmtId="0" fontId="1" fillId="2" borderId="0" xfId="0" applyNumberFormat="1" applyFont="1" applyFill="1" applyAlignment="1"/>
    <xf numFmtId="164" fontId="1" fillId="2" borderId="0" xfId="0" applyNumberFormat="1" applyFont="1" applyFill="1" applyAlignment="1"/>
    <xf numFmtId="0" fontId="1" fillId="2" borderId="0" xfId="0" applyFont="1" applyFill="1" applyAlignment="1"/>
    <xf numFmtId="14" fontId="1" fillId="0" borderId="0" xfId="0" applyNumberFormat="1" applyFont="1" applyAlignment="1"/>
    <xf numFmtId="0" fontId="1" fillId="0" borderId="0" xfId="0" applyNumberFormat="1" applyFont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49" fontId="1" fillId="3" borderId="0" xfId="0" applyNumberFormat="1" applyFont="1" applyFill="1" applyBorder="1" applyAlignment="1">
      <alignment horizontal="center"/>
    </xf>
    <xf numFmtId="0" fontId="1" fillId="3" borderId="0" xfId="0" applyNumberFormat="1" applyFont="1" applyFill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6"/>
  <sheetViews>
    <sheetView tabSelected="1" workbookViewId="0">
      <selection activeCell="F19" sqref="F19"/>
    </sheetView>
  </sheetViews>
  <sheetFormatPr defaultRowHeight="15" x14ac:dyDescent="0.25"/>
  <cols>
    <col min="2" max="2" width="9.28515625" bestFit="1" customWidth="1"/>
    <col min="3" max="3" width="23.7109375" bestFit="1" customWidth="1"/>
    <col min="5" max="5" width="20.42578125" style="18" bestFit="1" customWidth="1"/>
    <col min="6" max="6" width="9.28515625" style="18" bestFit="1" customWidth="1"/>
    <col min="7" max="7" width="18.85546875" style="18" bestFit="1" customWidth="1"/>
    <col min="8" max="8" width="9.28515625" style="18" bestFit="1" customWidth="1"/>
    <col min="9" max="9" width="12.5703125" style="18" bestFit="1" customWidth="1"/>
    <col min="10" max="10" width="21" style="18" bestFit="1" customWidth="1"/>
    <col min="11" max="11" width="12.140625" style="18" customWidth="1"/>
    <col min="12" max="12" width="15.42578125" style="18" bestFit="1" customWidth="1"/>
    <col min="13" max="13" width="15.28515625" style="18" bestFit="1" customWidth="1"/>
    <col min="14" max="14" width="23.7109375" style="18" bestFit="1" customWidth="1"/>
    <col min="15" max="15" width="9.85546875" style="18" customWidth="1"/>
    <col min="16" max="16" width="10.85546875" style="18" customWidth="1"/>
    <col min="17" max="17" width="12.42578125" style="18" bestFit="1" customWidth="1"/>
  </cols>
  <sheetData>
    <row r="1" spans="1:17" x14ac:dyDescent="0.25">
      <c r="A1" s="1" t="s">
        <v>0</v>
      </c>
      <c r="B1" s="2" t="s">
        <v>2</v>
      </c>
      <c r="C1" s="2" t="s">
        <v>2</v>
      </c>
      <c r="D1" s="2" t="s">
        <v>5</v>
      </c>
      <c r="E1" s="2" t="s">
        <v>9</v>
      </c>
      <c r="F1" s="2" t="s">
        <v>8</v>
      </c>
      <c r="G1" s="22" t="s">
        <v>6</v>
      </c>
      <c r="H1" s="22" t="s">
        <v>11</v>
      </c>
      <c r="I1" s="2" t="s">
        <v>13</v>
      </c>
      <c r="J1" s="2" t="s">
        <v>15</v>
      </c>
      <c r="K1" s="19" t="s">
        <v>39</v>
      </c>
      <c r="L1" s="3" t="s">
        <v>22</v>
      </c>
      <c r="M1" s="2" t="s">
        <v>16</v>
      </c>
      <c r="N1" s="2" t="s">
        <v>18</v>
      </c>
      <c r="O1" s="19" t="s">
        <v>40</v>
      </c>
      <c r="P1" s="2" t="s">
        <v>19</v>
      </c>
      <c r="Q1" s="2" t="s">
        <v>21</v>
      </c>
    </row>
    <row r="2" spans="1:17" x14ac:dyDescent="0.25">
      <c r="A2" s="4"/>
      <c r="B2" s="6" t="s">
        <v>4</v>
      </c>
      <c r="C2" s="6" t="s">
        <v>3</v>
      </c>
      <c r="D2" s="6"/>
      <c r="E2" s="6"/>
      <c r="F2" s="6"/>
      <c r="G2" s="23"/>
      <c r="H2" s="23"/>
      <c r="I2" s="6"/>
      <c r="J2" s="6"/>
      <c r="K2" s="20"/>
      <c r="L2" s="7"/>
      <c r="M2" s="6"/>
      <c r="N2" s="6"/>
      <c r="O2" s="20"/>
      <c r="P2" s="6"/>
      <c r="Q2" s="6"/>
    </row>
    <row r="3" spans="1:17" ht="21" customHeight="1" x14ac:dyDescent="0.25">
      <c r="A3" s="4" t="s">
        <v>1</v>
      </c>
      <c r="B3" s="5"/>
      <c r="C3" s="5"/>
      <c r="D3" s="6"/>
      <c r="E3" s="6" t="s">
        <v>10</v>
      </c>
      <c r="F3" s="6"/>
      <c r="G3" s="23" t="s">
        <v>7</v>
      </c>
      <c r="H3" s="23" t="s">
        <v>12</v>
      </c>
      <c r="I3" s="6" t="s">
        <v>14</v>
      </c>
      <c r="J3" s="6" t="s">
        <v>14</v>
      </c>
      <c r="K3" s="20" t="s">
        <v>14</v>
      </c>
      <c r="L3" s="7" t="s">
        <v>14</v>
      </c>
      <c r="M3" s="6" t="s">
        <v>17</v>
      </c>
      <c r="N3" s="6" t="s">
        <v>17</v>
      </c>
      <c r="O3" s="20" t="s">
        <v>17</v>
      </c>
      <c r="P3" s="6" t="s">
        <v>20</v>
      </c>
      <c r="Q3" s="6" t="s">
        <v>20</v>
      </c>
    </row>
    <row r="4" spans="1:17" x14ac:dyDescent="0.25">
      <c r="A4" s="8" t="s">
        <v>23</v>
      </c>
      <c r="B4" s="9">
        <v>1</v>
      </c>
      <c r="C4" s="15">
        <v>43770</v>
      </c>
      <c r="D4" s="10" t="s">
        <v>25</v>
      </c>
      <c r="E4" s="16">
        <v>8.6999999999999993</v>
      </c>
      <c r="F4" s="16">
        <v>8.2100000000000009</v>
      </c>
      <c r="G4" s="16">
        <v>55460</v>
      </c>
      <c r="H4" s="18">
        <v>36.799999999999997</v>
      </c>
      <c r="I4" s="16">
        <v>196</v>
      </c>
      <c r="J4" s="16">
        <v>91</v>
      </c>
      <c r="K4" s="21">
        <f>+I4-J4</f>
        <v>105</v>
      </c>
      <c r="L4" s="17"/>
      <c r="M4" s="16">
        <v>11</v>
      </c>
      <c r="N4" s="16">
        <v>7</v>
      </c>
      <c r="O4" s="21">
        <f>+M4-N4</f>
        <v>4</v>
      </c>
      <c r="P4" s="16">
        <v>1.83</v>
      </c>
      <c r="Q4" s="16">
        <v>0.52</v>
      </c>
    </row>
    <row r="5" spans="1:17" x14ac:dyDescent="0.25">
      <c r="A5" s="8" t="s">
        <v>23</v>
      </c>
      <c r="B5" s="9">
        <v>2</v>
      </c>
      <c r="C5" s="15">
        <v>43771</v>
      </c>
      <c r="D5" s="10" t="s">
        <v>26</v>
      </c>
      <c r="E5" s="16">
        <v>12</v>
      </c>
      <c r="F5" s="16">
        <v>8.2200000000000006</v>
      </c>
      <c r="G5" s="16">
        <v>55150</v>
      </c>
      <c r="H5" s="18">
        <v>36.6</v>
      </c>
      <c r="I5" s="16">
        <v>219</v>
      </c>
      <c r="J5" s="16">
        <v>123</v>
      </c>
      <c r="K5" s="21">
        <f t="shared" ref="K5:K15" si="0">+I5-J5</f>
        <v>96</v>
      </c>
      <c r="L5" s="17"/>
      <c r="M5" s="16">
        <v>13</v>
      </c>
      <c r="N5" s="16">
        <v>5</v>
      </c>
      <c r="O5" s="21">
        <f t="shared" ref="O5:O15" si="1">+M5-N5</f>
        <v>8</v>
      </c>
      <c r="P5" s="16">
        <v>1.26</v>
      </c>
      <c r="Q5" s="16">
        <v>0.48</v>
      </c>
    </row>
    <row r="6" spans="1:17" x14ac:dyDescent="0.25">
      <c r="A6" s="8" t="s">
        <v>23</v>
      </c>
      <c r="B6" s="9">
        <v>3</v>
      </c>
      <c r="C6" s="15">
        <v>43771</v>
      </c>
      <c r="D6" s="10" t="s">
        <v>27</v>
      </c>
      <c r="E6" s="16">
        <v>7.1</v>
      </c>
      <c r="F6" s="16">
        <v>8.23</v>
      </c>
      <c r="G6" s="16">
        <v>54970</v>
      </c>
      <c r="H6" s="18">
        <v>36.4</v>
      </c>
      <c r="I6" s="16">
        <v>223</v>
      </c>
      <c r="J6" s="16">
        <v>118</v>
      </c>
      <c r="K6" s="21">
        <f t="shared" si="0"/>
        <v>105</v>
      </c>
      <c r="L6" s="17"/>
      <c r="M6" s="16">
        <v>10</v>
      </c>
      <c r="N6" s="16">
        <v>5</v>
      </c>
      <c r="O6" s="21">
        <f t="shared" si="1"/>
        <v>5</v>
      </c>
      <c r="P6" s="16">
        <v>2.35</v>
      </c>
      <c r="Q6" s="16">
        <v>0.43</v>
      </c>
    </row>
    <row r="7" spans="1:17" x14ac:dyDescent="0.25">
      <c r="A7" s="8" t="s">
        <v>23</v>
      </c>
      <c r="B7" s="9">
        <v>4</v>
      </c>
      <c r="C7" s="15">
        <v>43771</v>
      </c>
      <c r="D7" s="10" t="s">
        <v>28</v>
      </c>
      <c r="E7" s="16">
        <v>7.8</v>
      </c>
      <c r="F7" s="16">
        <v>8.23</v>
      </c>
      <c r="G7" s="16">
        <v>54960</v>
      </c>
      <c r="H7" s="18">
        <v>36.4</v>
      </c>
      <c r="I7" s="16">
        <v>192</v>
      </c>
      <c r="J7" s="16">
        <v>83</v>
      </c>
      <c r="K7" s="21">
        <f t="shared" si="0"/>
        <v>109</v>
      </c>
      <c r="L7" s="17"/>
      <c r="M7" s="16">
        <v>10</v>
      </c>
      <c r="N7" s="16">
        <v>4</v>
      </c>
      <c r="O7" s="21">
        <f t="shared" si="1"/>
        <v>6</v>
      </c>
      <c r="P7" s="16">
        <v>1.79</v>
      </c>
      <c r="Q7" s="16">
        <v>0.38</v>
      </c>
    </row>
    <row r="8" spans="1:17" x14ac:dyDescent="0.25">
      <c r="A8" s="8" t="s">
        <v>23</v>
      </c>
      <c r="B8" s="9">
        <v>5</v>
      </c>
      <c r="C8" s="15">
        <v>43771</v>
      </c>
      <c r="D8" s="10" t="s">
        <v>29</v>
      </c>
      <c r="E8" s="16">
        <v>9</v>
      </c>
      <c r="F8" s="16">
        <v>8.26</v>
      </c>
      <c r="G8" s="16">
        <v>54930</v>
      </c>
      <c r="H8" s="18">
        <v>36.4</v>
      </c>
      <c r="I8" s="16">
        <v>250</v>
      </c>
      <c r="J8" s="16">
        <v>87</v>
      </c>
      <c r="K8" s="21">
        <f t="shared" si="0"/>
        <v>163</v>
      </c>
      <c r="L8" s="17"/>
      <c r="M8" s="16">
        <v>10</v>
      </c>
      <c r="N8" s="16">
        <v>7</v>
      </c>
      <c r="O8" s="21">
        <f t="shared" si="1"/>
        <v>3</v>
      </c>
      <c r="P8" s="16">
        <v>1.22</v>
      </c>
      <c r="Q8" s="16" t="s">
        <v>30</v>
      </c>
    </row>
    <row r="9" spans="1:17" x14ac:dyDescent="0.25">
      <c r="A9" s="8" t="s">
        <v>23</v>
      </c>
      <c r="B9" s="9">
        <v>6</v>
      </c>
      <c r="C9" s="15">
        <v>43771</v>
      </c>
      <c r="D9" s="10" t="s">
        <v>31</v>
      </c>
      <c r="E9" s="16">
        <v>3.8</v>
      </c>
      <c r="F9" s="16">
        <v>8.2799999999999994</v>
      </c>
      <c r="G9" s="16">
        <v>55060</v>
      </c>
      <c r="H9" s="18">
        <v>36.5</v>
      </c>
      <c r="I9" s="16">
        <v>212</v>
      </c>
      <c r="J9" s="16">
        <v>96</v>
      </c>
      <c r="K9" s="21">
        <f t="shared" si="0"/>
        <v>116</v>
      </c>
      <c r="L9" s="17"/>
      <c r="M9" s="16">
        <v>8</v>
      </c>
      <c r="N9" s="16">
        <v>5</v>
      </c>
      <c r="O9" s="21">
        <f t="shared" si="1"/>
        <v>3</v>
      </c>
      <c r="P9" s="16">
        <v>1.1200000000000001</v>
      </c>
      <c r="Q9" s="16">
        <v>0.24</v>
      </c>
    </row>
    <row r="10" spans="1:17" x14ac:dyDescent="0.25">
      <c r="A10" s="8" t="s">
        <v>23</v>
      </c>
      <c r="B10" s="9">
        <v>7</v>
      </c>
      <c r="C10" s="15">
        <v>43770</v>
      </c>
      <c r="D10" s="10" t="s">
        <v>32</v>
      </c>
      <c r="E10" s="16">
        <v>7.2</v>
      </c>
      <c r="F10" s="16">
        <v>8.26</v>
      </c>
      <c r="G10" s="16">
        <v>55240</v>
      </c>
      <c r="H10" s="18">
        <v>36.6</v>
      </c>
      <c r="I10" s="16">
        <v>191</v>
      </c>
      <c r="J10" s="16">
        <v>116</v>
      </c>
      <c r="K10" s="21">
        <f t="shared" si="0"/>
        <v>75</v>
      </c>
      <c r="L10" s="17"/>
      <c r="M10" s="16">
        <v>9</v>
      </c>
      <c r="N10" s="16">
        <v>7</v>
      </c>
      <c r="O10" s="21">
        <f t="shared" si="1"/>
        <v>2</v>
      </c>
      <c r="P10" s="16">
        <v>1.07</v>
      </c>
      <c r="Q10" s="16">
        <v>0.24</v>
      </c>
    </row>
    <row r="11" spans="1:17" x14ac:dyDescent="0.25">
      <c r="A11" s="8" t="s">
        <v>23</v>
      </c>
      <c r="B11" s="9">
        <v>8</v>
      </c>
      <c r="C11" s="15">
        <v>43771</v>
      </c>
      <c r="D11" s="10" t="s">
        <v>33</v>
      </c>
      <c r="E11" s="16">
        <v>11</v>
      </c>
      <c r="F11" s="16">
        <v>8.2200000000000006</v>
      </c>
      <c r="G11" s="16">
        <v>55090</v>
      </c>
      <c r="H11" s="18">
        <v>36.5</v>
      </c>
      <c r="I11" s="16">
        <v>268</v>
      </c>
      <c r="J11" s="16">
        <v>140</v>
      </c>
      <c r="K11" s="21">
        <f t="shared" si="0"/>
        <v>128</v>
      </c>
      <c r="L11" s="17"/>
      <c r="M11" s="16">
        <v>21</v>
      </c>
      <c r="N11" s="16">
        <v>8</v>
      </c>
      <c r="O11" s="21">
        <f t="shared" si="1"/>
        <v>13</v>
      </c>
      <c r="P11" s="16">
        <v>0.88</v>
      </c>
      <c r="Q11" s="16" t="s">
        <v>30</v>
      </c>
    </row>
    <row r="12" spans="1:17" x14ac:dyDescent="0.25">
      <c r="A12" s="8" t="s">
        <v>23</v>
      </c>
      <c r="B12" s="9">
        <v>9</v>
      </c>
      <c r="C12" s="15">
        <v>43771</v>
      </c>
      <c r="D12" s="10" t="s">
        <v>34</v>
      </c>
      <c r="E12" s="16">
        <v>4</v>
      </c>
      <c r="F12" s="16">
        <v>8.2799999999999994</v>
      </c>
      <c r="G12" s="16">
        <v>53620</v>
      </c>
      <c r="H12" s="18">
        <v>35.4</v>
      </c>
      <c r="I12" s="16">
        <v>184</v>
      </c>
      <c r="J12" s="16">
        <v>106</v>
      </c>
      <c r="K12" s="21">
        <f t="shared" si="0"/>
        <v>78</v>
      </c>
      <c r="L12" s="16" t="s">
        <v>35</v>
      </c>
      <c r="M12" s="16">
        <v>17</v>
      </c>
      <c r="N12" s="16">
        <v>7</v>
      </c>
      <c r="O12" s="21">
        <f t="shared" si="1"/>
        <v>10</v>
      </c>
      <c r="P12" s="16">
        <v>0.44</v>
      </c>
      <c r="Q12" s="16" t="s">
        <v>30</v>
      </c>
    </row>
    <row r="13" spans="1:17" x14ac:dyDescent="0.25">
      <c r="A13" s="8" t="s">
        <v>23</v>
      </c>
      <c r="B13" s="9">
        <v>10</v>
      </c>
      <c r="C13" s="15">
        <v>43770</v>
      </c>
      <c r="D13" s="10" t="s">
        <v>36</v>
      </c>
      <c r="E13" s="16">
        <v>14</v>
      </c>
      <c r="F13" s="16">
        <v>8.27</v>
      </c>
      <c r="G13" s="16">
        <v>54890</v>
      </c>
      <c r="H13" s="18">
        <v>36.4</v>
      </c>
      <c r="I13" s="16">
        <v>153</v>
      </c>
      <c r="J13" s="16">
        <v>90</v>
      </c>
      <c r="K13" s="21">
        <f t="shared" si="0"/>
        <v>63</v>
      </c>
      <c r="L13" s="16">
        <v>1</v>
      </c>
      <c r="M13" s="16">
        <v>14</v>
      </c>
      <c r="N13" s="16">
        <v>10</v>
      </c>
      <c r="O13" s="21">
        <f t="shared" si="1"/>
        <v>4</v>
      </c>
      <c r="P13" s="16">
        <v>0.73</v>
      </c>
      <c r="Q13" s="16">
        <v>0.22</v>
      </c>
    </row>
    <row r="14" spans="1:17" x14ac:dyDescent="0.25">
      <c r="A14" s="8" t="s">
        <v>23</v>
      </c>
      <c r="B14" s="9">
        <v>11</v>
      </c>
      <c r="C14" s="15">
        <v>43770</v>
      </c>
      <c r="D14" s="10" t="s">
        <v>37</v>
      </c>
      <c r="E14" s="16">
        <v>13</v>
      </c>
      <c r="F14" s="16">
        <v>8.26</v>
      </c>
      <c r="G14" s="16">
        <v>55070</v>
      </c>
      <c r="H14" s="18">
        <v>36.5</v>
      </c>
      <c r="I14" s="16">
        <v>158</v>
      </c>
      <c r="J14" s="16">
        <v>136</v>
      </c>
      <c r="K14" s="21">
        <f t="shared" si="0"/>
        <v>22</v>
      </c>
      <c r="L14" s="16" t="s">
        <v>35</v>
      </c>
      <c r="M14" s="16">
        <v>10</v>
      </c>
      <c r="N14" s="16">
        <v>8</v>
      </c>
      <c r="O14" s="21">
        <f t="shared" si="1"/>
        <v>2</v>
      </c>
      <c r="P14" s="16">
        <v>0.21</v>
      </c>
      <c r="Q14" s="16">
        <v>0.26</v>
      </c>
    </row>
    <row r="15" spans="1:17" x14ac:dyDescent="0.25">
      <c r="A15" s="8" t="s">
        <v>23</v>
      </c>
      <c r="B15" s="9">
        <v>12</v>
      </c>
      <c r="C15" s="15">
        <v>43770</v>
      </c>
      <c r="D15" s="10" t="s">
        <v>38</v>
      </c>
      <c r="E15" s="16">
        <v>11</v>
      </c>
      <c r="F15" s="16">
        <v>8.25</v>
      </c>
      <c r="G15" s="16">
        <v>55070</v>
      </c>
      <c r="H15" s="18">
        <v>36.5</v>
      </c>
      <c r="I15" s="16">
        <v>157</v>
      </c>
      <c r="J15" s="16">
        <v>92</v>
      </c>
      <c r="K15" s="21">
        <f t="shared" si="0"/>
        <v>65</v>
      </c>
      <c r="L15" s="16">
        <v>1</v>
      </c>
      <c r="M15" s="16">
        <v>11</v>
      </c>
      <c r="N15" s="16">
        <v>8</v>
      </c>
      <c r="O15" s="21">
        <f t="shared" si="1"/>
        <v>3</v>
      </c>
      <c r="P15" s="16">
        <v>0.81</v>
      </c>
      <c r="Q15" s="16" t="s">
        <v>30</v>
      </c>
    </row>
    <row r="16" spans="1:17" x14ac:dyDescent="0.25">
      <c r="A16" s="11" t="s">
        <v>24</v>
      </c>
      <c r="B16" s="14"/>
      <c r="C16" s="13"/>
      <c r="D16" s="12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</sheetData>
  <pageMargins left="0.7" right="0.7" top="0.75" bottom="0.75" header="0.3" footer="0.3"/>
  <pageSetup paperSize="9" scale="54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6805AA83E2468089EA055DD0F2E3" ma:contentTypeVersion="18" ma:contentTypeDescription="Create a new document." ma:contentTypeScope="" ma:versionID="92a6e81a85e3f5349b05d137f11504f4">
  <xsd:schema xmlns:xsd="http://www.w3.org/2001/XMLSchema" xmlns:xs="http://www.w3.org/2001/XMLSchema" xmlns:p="http://schemas.microsoft.com/office/2006/metadata/properties" xmlns:ns2="3b6f0567-5027-4941-8462-041797c42015" xmlns:ns3="bfa48111-6542-4c4f-b470-9f1a015eed5c" targetNamespace="http://schemas.microsoft.com/office/2006/metadata/properties" ma:root="true" ma:fieldsID="5510058e92763df001c8b3dd046ddcde" ns2:_="" ns3:_="">
    <xsd:import namespace="3b6f0567-5027-4941-8462-041797c42015"/>
    <xsd:import namespace="bfa48111-6542-4c4f-b470-9f1a015eed5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6f0567-5027-4941-8462-041797c420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e28be31-0cf2-4eb1-8e84-234c5a52ea0f}" ma:internalName="TaxCatchAll" ma:showField="CatchAllData" ma:web="3b6f0567-5027-4941-8462-041797c42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a48111-6542-4c4f-b470-9f1a015eed5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9026d15-0072-472a-9e8b-1e695e239e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6f0567-5027-4941-8462-041797c42015" xsi:nil="true"/>
    <lcf76f155ced4ddcb4097134ff3c332f xmlns="bfa48111-6542-4c4f-b470-9f1a015eed5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1ACC4E-4169-4754-A5C3-8C841C601564}"/>
</file>

<file path=customXml/itemProps2.xml><?xml version="1.0" encoding="utf-8"?>
<ds:datastoreItem xmlns:ds="http://schemas.openxmlformats.org/officeDocument/2006/customXml" ds:itemID="{B4450372-FCF2-4E05-B1CC-55B28979131E}"/>
</file>

<file path=customXml/itemProps3.xml><?xml version="1.0" encoding="utf-8"?>
<ds:datastoreItem xmlns:ds="http://schemas.openxmlformats.org/officeDocument/2006/customXml" ds:itemID="{9DCBE48D-2371-4B54-AD6F-47F4DBC77E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Lims1 Results 16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Tink</dc:creator>
  <cp:lastModifiedBy>Jordan Iles</cp:lastModifiedBy>
  <cp:lastPrinted>2019-12-02T05:10:39Z</cp:lastPrinted>
  <dcterms:created xsi:type="dcterms:W3CDTF">2019-11-29T07:21:29Z</dcterms:created>
  <dcterms:modified xsi:type="dcterms:W3CDTF">2019-12-03T03:46:34Z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0x0101003C356805AA83E2468089EA055DD0F2E3</vt:lpwstr>
  </property>
</Properties>
</file>
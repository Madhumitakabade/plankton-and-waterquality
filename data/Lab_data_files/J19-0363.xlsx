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5200" windowHeight="1140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<sst xmlns="http://schemas.openxmlformats.org/spreadsheetml/2006/main" count="49" uniqueCount="33">
  <si>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</si>
  <si>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</si>
  <si>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</si>
  <si>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</si>
  <si>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</si>
  <si>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</si>
  <si>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</si>
  <si>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</si>
  <si>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pH</t>
  </si>
  <si>
    <t>Total Suspended Solids</t>
  </si>
  <si>
    <t>mg/L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</si>
  <si>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</si>
  <si>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</si>
  <si>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</si>
  <si>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</si>
  <si>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</si>
  <si>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</si>
  <si>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</si>
  <si>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</si>
  <si>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</si>
  <si>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</si>
  <si>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</si>
  <si>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J19-0363</t>
  </si>
  <si>
    <t/>
  </si>
  <si>
    <t>AP_AMB1</t>
  </si>
  <si>
    <t>&lt;0.2</t>
  </si>
  <si>
    <t>AP_AMB2</t>
  </si>
  <si>
    <t>AP_AMB3</t>
  </si>
  <si>
    <t>AP_AMB4</t>
  </si>
  <si>
    <t>AP_AMB5</t>
  </si>
  <si>
    <t>PN</t>
  </si>
  <si>
    <t>&lt;1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</si>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</sst>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NumberFormat="1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"/>
  <sheetViews>
    <sheetView tabSelected="1" workbookViewId="0">
      <selection activeCell="D12" sqref="D12"/>
    </sheetView>
  </sheetViews>
  <sheetFormatPr defaultRowHeight="15" x14ac:dyDescent="0.25"/>
  <cols>
    <col min="2" max="2" width="9.28515625" bestFit="1" customWidth="1"/>
    <col min="3" max="3" width="24.85546875" bestFit="1" customWidth="1"/>
    <col min="4" max="4" width="23" bestFit="1" customWidth="1"/>
    <col min="5" max="5" width="20.42578125" style="18" bestFit="1" customWidth="1"/>
    <col min="6" max="6" width="9.28515625" style="18" bestFit="1" customWidth="1"/>
    <col min="7" max="7" width="18.85546875" style="18" bestFit="1" customWidth="1"/>
    <col min="8" max="8" width="9.28515625" style="18" bestFit="1" customWidth="1"/>
    <col min="9" max="9" width="12.5703125" style="18" bestFit="1" customWidth="1"/>
    <col min="10" max="10" width="21" style="18" bestFit="1" customWidth="1"/>
    <col min="11" max="11" width="17" style="18" customWidth="1"/>
    <col min="12" max="12" width="15.28515625" style="18" bestFit="1" customWidth="1"/>
    <col min="13" max="13" width="23.7109375" style="18" bestFit="1" customWidth="1"/>
    <col min="14" max="14" width="16.2851562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9</v>
      </c>
      <c r="F1" s="2" t="s">
        <v>8</v>
      </c>
      <c r="G1" s="2" t="s">
        <v>6</v>
      </c>
      <c r="H1" s="2" t="s">
        <v>11</v>
      </c>
      <c r="I1" s="2" t="s">
        <v>13</v>
      </c>
      <c r="J1" s="2" t="s">
        <v>15</v>
      </c>
      <c r="K1" s="19" t="s">
        <v>30</v>
      </c>
      <c r="L1" s="2" t="s">
        <v>16</v>
      </c>
      <c r="M1" s="2" t="s">
        <v>18</v>
      </c>
      <c r="N1" s="19" t="s">
        <v>32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0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10</v>
      </c>
      <c r="F3" s="6"/>
      <c r="G3" s="6" t="s">
        <v>7</v>
      </c>
      <c r="H3" s="6" t="s">
        <v>12</v>
      </c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0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43781</v>
      </c>
      <c r="D4" s="10" t="s">
        <v>24</v>
      </c>
      <c r="E4" s="16">
        <v>3.3</v>
      </c>
      <c r="F4" s="16">
        <v>8.24</v>
      </c>
      <c r="G4" s="16">
        <v>54760</v>
      </c>
      <c r="H4" s="16">
        <v>36.299999999999997</v>
      </c>
      <c r="I4" s="16">
        <v>133</v>
      </c>
      <c r="J4" s="16">
        <v>99</v>
      </c>
      <c r="K4" s="21">
        <f>+I4-J4</f>
        <v>34</v>
      </c>
      <c r="L4" s="16">
        <v>6</v>
      </c>
      <c r="M4" s="16">
        <v>6</v>
      </c>
      <c r="N4" s="21" t="s">
        <v>31</v>
      </c>
      <c r="O4" s="16" t="s">
        <v>25</v>
      </c>
      <c r="P4" s="16" t="s">
        <v>25</v>
      </c>
    </row>
    <row r="5" spans="1:16" x14ac:dyDescent="0.25">
      <c r="A5" s="8" t="s">
        <v>22</v>
      </c>
      <c r="B5" s="9">
        <v>2</v>
      </c>
      <c r="C5" s="15">
        <v>43781</v>
      </c>
      <c r="D5" s="10" t="s">
        <v>26</v>
      </c>
      <c r="E5" s="16">
        <v>3.4</v>
      </c>
      <c r="F5" s="16">
        <v>8.26</v>
      </c>
      <c r="G5" s="16">
        <v>55070</v>
      </c>
      <c r="H5" s="16">
        <v>36.5</v>
      </c>
      <c r="I5" s="16">
        <v>157</v>
      </c>
      <c r="J5" s="16">
        <v>99</v>
      </c>
      <c r="K5" s="21">
        <f t="shared" ref="K5:K8" si="0">+I5-J5</f>
        <v>58</v>
      </c>
      <c r="L5" s="16">
        <v>8</v>
      </c>
      <c r="M5" s="16">
        <v>6</v>
      </c>
      <c r="N5" s="21">
        <f t="shared" ref="N5:N7" si="1">+L5-M5</f>
        <v>2</v>
      </c>
      <c r="O5" s="16">
        <v>0.98</v>
      </c>
      <c r="P5" s="16" t="s">
        <v>25</v>
      </c>
    </row>
    <row r="6" spans="1:16" x14ac:dyDescent="0.25">
      <c r="A6" s="8" t="s">
        <v>22</v>
      </c>
      <c r="B6" s="9">
        <v>3</v>
      </c>
      <c r="C6" s="15">
        <v>43781</v>
      </c>
      <c r="D6" s="10" t="s">
        <v>27</v>
      </c>
      <c r="E6" s="16">
        <v>6.7</v>
      </c>
      <c r="F6" s="16">
        <v>8.27</v>
      </c>
      <c r="G6" s="16">
        <v>55540</v>
      </c>
      <c r="H6" s="16">
        <v>36.799999999999997</v>
      </c>
      <c r="I6" s="16">
        <v>179</v>
      </c>
      <c r="J6" s="16">
        <v>96</v>
      </c>
      <c r="K6" s="21">
        <f t="shared" si="0"/>
        <v>83</v>
      </c>
      <c r="L6" s="16">
        <v>8</v>
      </c>
      <c r="M6" s="16">
        <v>6</v>
      </c>
      <c r="N6" s="21">
        <f t="shared" si="1"/>
        <v>2</v>
      </c>
      <c r="O6" s="16">
        <v>0.65</v>
      </c>
      <c r="P6" s="16" t="s">
        <v>25</v>
      </c>
    </row>
    <row r="7" spans="1:16" x14ac:dyDescent="0.25">
      <c r="A7" s="8" t="s">
        <v>22</v>
      </c>
      <c r="B7" s="9">
        <v>4</v>
      </c>
      <c r="C7" s="15">
        <v>43781</v>
      </c>
      <c r="D7" s="10" t="s">
        <v>28</v>
      </c>
      <c r="E7" s="16">
        <v>2.8</v>
      </c>
      <c r="F7" s="16">
        <v>8.27</v>
      </c>
      <c r="G7" s="16">
        <v>55450</v>
      </c>
      <c r="H7" s="16">
        <v>36.799999999999997</v>
      </c>
      <c r="I7" s="16">
        <v>190</v>
      </c>
      <c r="J7" s="16">
        <v>170</v>
      </c>
      <c r="K7" s="21">
        <f t="shared" si="0"/>
        <v>20</v>
      </c>
      <c r="L7" s="16">
        <v>9</v>
      </c>
      <c r="M7" s="16">
        <v>5</v>
      </c>
      <c r="N7" s="21">
        <f t="shared" si="1"/>
        <v>4</v>
      </c>
      <c r="O7" s="16">
        <v>0.55000000000000004</v>
      </c>
      <c r="P7" s="16" t="s">
        <v>25</v>
      </c>
    </row>
    <row r="8" spans="1:16" x14ac:dyDescent="0.25">
      <c r="A8" s="8" t="s">
        <v>22</v>
      </c>
      <c r="B8" s="9">
        <v>5</v>
      </c>
      <c r="C8" s="15">
        <v>43782</v>
      </c>
      <c r="D8" s="10" t="s">
        <v>29</v>
      </c>
      <c r="E8" s="16">
        <v>3</v>
      </c>
      <c r="F8" s="16">
        <v>8.26</v>
      </c>
      <c r="G8" s="16">
        <v>54380</v>
      </c>
      <c r="H8" s="16">
        <v>36</v>
      </c>
      <c r="I8" s="16">
        <v>154</v>
      </c>
      <c r="J8" s="16">
        <v>122</v>
      </c>
      <c r="K8" s="21">
        <f t="shared" si="0"/>
        <v>32</v>
      </c>
      <c r="L8" s="16">
        <v>7</v>
      </c>
      <c r="M8" s="16">
        <v>7</v>
      </c>
      <c r="N8" s="21" t="s">
        <v>31</v>
      </c>
      <c r="O8" s="16" t="s">
        <v>25</v>
      </c>
      <c r="P8" s="16">
        <v>0.32</v>
      </c>
    </row>
    <row r="9" spans="1:16" x14ac:dyDescent="0.25">
      <c r="A9" s="11" t="s">
        <v>23</v>
      </c>
      <c r="B9" s="13"/>
      <c r="C9" s="12"/>
      <c r="D9" s="14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paperSize="9" scale="52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DBB084-9941-4304-9302-4630C47C0C3F}"/>
</file>

<file path=customXml/itemProps2.xml><?xml version="1.0" encoding="utf-8"?>
<ds:datastoreItem xmlns:ds="http://schemas.openxmlformats.org/officeDocument/2006/customXml" ds:itemID="{D673068A-FEAE-4799-B1F8-4C691BF60A51}"/>
</file>

<file path=customXml/itemProps3.xml><?xml version="1.0" encoding="utf-8"?>
<ds:datastoreItem xmlns:ds="http://schemas.openxmlformats.org/officeDocument/2006/customXml" ds:itemID="{8AE066FF-2263-4402-81F4-CF568FCB4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2019-11-29T07:44:03Z</cp:lastPrinted>
  <dcterms:created xsi:type="dcterms:W3CDTF">2019-11-29T07:36:33Z</dcterms:created>
  <dcterms:modified xsi:type="dcterms:W3CDTF">2019-12-03T01:56:24Z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
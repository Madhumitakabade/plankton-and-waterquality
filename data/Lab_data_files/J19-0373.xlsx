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1600" windowHeight="915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<sst xmlns="http://schemas.openxmlformats.org/spreadsheetml/2006/main" count="41" uniqueCount="31">
  <si>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</si>
  <si>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</si>
  <si>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</si>
  <si>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</si>
  <si>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</si>
  <si>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</si>
  <si>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</si>
  <si>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</si>
  <si>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pH</t>
  </si>
  <si>
    <t>Total Suspended Solids</t>
  </si>
  <si>
    <t>mg/L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</si>
  <si>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</si>
  <si>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</si>
  <si>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</si>
  <si>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</si>
  <si>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</si>
  <si>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</si>
  <si>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</si>
  <si>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</si>
  <si>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</si>
  <si>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</si>
  <si>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</si>
  <si>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J19-0373</t>
  </si>
  <si>
    <t/>
  </si>
  <si>
    <t>WP_AMB1</t>
  </si>
  <si>
    <t>&lt;0.2</t>
  </si>
  <si>
    <t>WP_AMB2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</si>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</sst>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tabSelected="1" workbookViewId="0">
      <selection activeCell="A6" sqref="A6"/>
    </sheetView>
  </sheetViews>
  <sheetFormatPr defaultRowHeight="15" x14ac:dyDescent="0.25"/>
  <cols>
    <col min="2" max="2" width="9.28515625" bestFit="1" customWidth="1"/>
    <col min="3" max="3" width="24.85546875" bestFit="1" customWidth="1"/>
    <col min="4" max="4" width="23" style="16" bestFit="1" customWidth="1"/>
    <col min="5" max="5" width="20.42578125" style="16" bestFit="1" customWidth="1"/>
    <col min="6" max="6" width="9.28515625" style="16" bestFit="1" customWidth="1"/>
    <col min="7" max="7" width="18.85546875" style="16" bestFit="1" customWidth="1"/>
    <col min="8" max="8" width="9.28515625" style="16" bestFit="1" customWidth="1"/>
    <col min="9" max="9" width="12.5703125" style="16" bestFit="1" customWidth="1"/>
    <col min="10" max="10" width="21" style="16" bestFit="1" customWidth="1"/>
    <col min="11" max="11" width="21" style="16" customWidth="1"/>
    <col min="12" max="12" width="15.28515625" style="16" bestFit="1" customWidth="1"/>
    <col min="13" max="13" width="23.7109375" style="16" bestFit="1" customWidth="1"/>
    <col min="14" max="14" width="23.7109375" style="16" customWidth="1"/>
    <col min="15" max="15" width="11.7109375" style="16" bestFit="1" customWidth="1"/>
    <col min="16" max="16" width="12.42578125" style="16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9</v>
      </c>
      <c r="F1" s="2" t="s">
        <v>8</v>
      </c>
      <c r="G1" s="2" t="s">
        <v>6</v>
      </c>
      <c r="H1" s="2" t="s">
        <v>11</v>
      </c>
      <c r="I1" s="2" t="s">
        <v>13</v>
      </c>
      <c r="J1" s="2" t="s">
        <v>15</v>
      </c>
      <c r="K1" s="17" t="s">
        <v>29</v>
      </c>
      <c r="L1" s="2" t="s">
        <v>16</v>
      </c>
      <c r="M1" s="2" t="s">
        <v>18</v>
      </c>
      <c r="N1" s="19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18"/>
      <c r="L2" s="6"/>
      <c r="M2" s="6"/>
      <c r="N2" s="19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10</v>
      </c>
      <c r="F3" s="6"/>
      <c r="G3" s="6" t="s">
        <v>7</v>
      </c>
      <c r="H3" s="6" t="s">
        <v>12</v>
      </c>
      <c r="I3" s="6" t="s">
        <v>14</v>
      </c>
      <c r="J3" s="6" t="s">
        <v>14</v>
      </c>
      <c r="K3" s="18" t="s">
        <v>14</v>
      </c>
      <c r="L3" s="6" t="s">
        <v>17</v>
      </c>
      <c r="M3" s="6" t="s">
        <v>17</v>
      </c>
      <c r="N3" s="19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3">
        <v>43789</v>
      </c>
      <c r="D4" s="14" t="s">
        <v>24</v>
      </c>
      <c r="E4" s="14">
        <v>8.1</v>
      </c>
      <c r="F4" s="14">
        <v>8.17</v>
      </c>
      <c r="G4" s="14">
        <v>54160</v>
      </c>
      <c r="H4" s="14">
        <v>35.799999999999997</v>
      </c>
      <c r="I4" s="14">
        <v>217</v>
      </c>
      <c r="J4" s="14">
        <v>180</v>
      </c>
      <c r="K4" s="19">
        <f>+I4-J4</f>
        <v>37</v>
      </c>
      <c r="L4" s="14">
        <v>14</v>
      </c>
      <c r="M4" s="14">
        <v>10</v>
      </c>
      <c r="N4" s="19">
        <f>+L4-M4</f>
        <v>4</v>
      </c>
      <c r="O4" s="14">
        <v>1.29</v>
      </c>
      <c r="P4" s="14" t="s">
        <v>25</v>
      </c>
    </row>
    <row r="5" spans="1:16" x14ac:dyDescent="0.25">
      <c r="A5" s="8" t="s">
        <v>22</v>
      </c>
      <c r="B5" s="9">
        <v>2</v>
      </c>
      <c r="C5" s="13">
        <v>43790</v>
      </c>
      <c r="D5" s="14" t="s">
        <v>26</v>
      </c>
      <c r="E5" s="14">
        <v>5.9</v>
      </c>
      <c r="F5" s="14">
        <v>8.1999999999999993</v>
      </c>
      <c r="G5" s="14">
        <v>53010</v>
      </c>
      <c r="H5" s="14">
        <v>35</v>
      </c>
      <c r="I5" s="14">
        <v>222</v>
      </c>
      <c r="J5" s="14">
        <v>182</v>
      </c>
      <c r="K5" s="19">
        <f t="shared" ref="K5:K7" si="0">+I5-J5</f>
        <v>40</v>
      </c>
      <c r="L5" s="14">
        <v>10</v>
      </c>
      <c r="M5" s="14">
        <v>9</v>
      </c>
      <c r="N5" s="19">
        <f t="shared" ref="N5:N7" si="1">+L5-M5</f>
        <v>1</v>
      </c>
      <c r="O5" s="14">
        <v>2.34</v>
      </c>
      <c r="P5" s="14" t="s">
        <v>25</v>
      </c>
    </row>
    <row r="6" spans="1:16" x14ac:dyDescent="0.25">
      <c r="A6" s="8" t="s">
        <v>22</v>
      </c>
      <c r="B6" s="9">
        <v>3</v>
      </c>
      <c r="C6" s="13">
        <v>43790</v>
      </c>
      <c r="D6" s="14" t="s">
        <v>27</v>
      </c>
      <c r="E6" s="14">
        <v>5.2</v>
      </c>
      <c r="F6" s="14">
        <v>8.1300000000000008</v>
      </c>
      <c r="G6" s="14">
        <v>52620</v>
      </c>
      <c r="H6" s="14">
        <v>34.700000000000003</v>
      </c>
      <c r="I6" s="14">
        <v>219</v>
      </c>
      <c r="J6" s="14">
        <v>176</v>
      </c>
      <c r="K6" s="19">
        <f t="shared" si="0"/>
        <v>43</v>
      </c>
      <c r="L6" s="14">
        <v>17</v>
      </c>
      <c r="M6" s="14">
        <v>12</v>
      </c>
      <c r="N6" s="19">
        <f t="shared" si="1"/>
        <v>5</v>
      </c>
      <c r="O6" s="14">
        <v>1.84</v>
      </c>
      <c r="P6" s="14">
        <v>0.27</v>
      </c>
    </row>
    <row r="7" spans="1:16" x14ac:dyDescent="0.25">
      <c r="A7" s="8" t="s">
        <v>22</v>
      </c>
      <c r="B7" s="9">
        <v>4</v>
      </c>
      <c r="C7" s="13">
        <v>43789</v>
      </c>
      <c r="D7" s="14" t="s">
        <v>28</v>
      </c>
      <c r="E7" s="14">
        <v>3.6</v>
      </c>
      <c r="F7" s="14">
        <v>8.16</v>
      </c>
      <c r="G7" s="14">
        <v>52710</v>
      </c>
      <c r="H7" s="14">
        <v>34.700000000000003</v>
      </c>
      <c r="I7" s="14">
        <v>205</v>
      </c>
      <c r="J7" s="14">
        <v>178</v>
      </c>
      <c r="K7" s="19">
        <f t="shared" si="0"/>
        <v>27</v>
      </c>
      <c r="L7" s="14">
        <v>15</v>
      </c>
      <c r="M7" s="14">
        <v>12</v>
      </c>
      <c r="N7" s="19">
        <f t="shared" si="1"/>
        <v>3</v>
      </c>
      <c r="O7" s="14">
        <v>1.58</v>
      </c>
      <c r="P7" s="14">
        <v>0.22</v>
      </c>
    </row>
    <row r="8" spans="1:16" x14ac:dyDescent="0.25">
      <c r="A8" s="10" t="s">
        <v>23</v>
      </c>
      <c r="B8" s="12"/>
      <c r="C8" s="11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</sheetData>
  <pageMargins left="0.7" right="0.7" top="0.75" bottom="0.75" header="0.3" footer="0.3"/>
  <pageSetup paperSize="9" scale="4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E98020-A752-487E-8BC4-00C1C637243C}"/>
</file>

<file path=customXml/itemProps2.xml><?xml version="1.0" encoding="utf-8"?>
<ds:datastoreItem xmlns:ds="http://schemas.openxmlformats.org/officeDocument/2006/customXml" ds:itemID="{28A7D244-672A-4742-ACCC-8328C225F80B}"/>
</file>

<file path=customXml/itemProps3.xml><?xml version="1.0" encoding="utf-8"?>
<ds:datastoreItem xmlns:ds="http://schemas.openxmlformats.org/officeDocument/2006/customXml" ds:itemID="{18F27203-FCAF-492D-A247-C4A0F55A1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2020-01-16T05:52:24Z</cp:lastPrinted>
  <dcterms:created xsi:type="dcterms:W3CDTF">2020-01-16T05:46:51Z</dcterms:created>
  <dcterms:modified xsi:type="dcterms:W3CDTF">2020-01-24T04:18:27Z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
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59751\Dropbox\Waltham Projects\NQBP Project\NQBP Data\TropWATER lab reports\Water chemistry\"/>
    </mc:Choice>
  </mc:AlternateContent>
  <bookViews>
    <workbookView xWindow="0" yWindow="0" windowWidth="21600" windowHeight="9150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4" i="1"/>
  <c r="L5" i="1"/>
  <c r="L6" i="1"/>
  <c r="L7" i="1"/>
  <c r="L8" i="1"/>
  <c r="L9" i="1"/>
  <c r="L10" i="1"/>
  <c r="L11" i="1"/>
  <c r="L12" i="1"/>
  <c r="L13" i="1"/>
  <c r="L4" i="1"/>
</calcChain>
</file>

<file path=xl/sharedStrings.xml><?xml version="1.0" encoding="utf-8"?>
<sst xmlns="http://schemas.openxmlformats.org/spreadsheetml/2006/main" count="73" uniqueCount="49">
  <si>
    <t>Reference</t>
  </si>
  <si>
    <t>Units</t>
  </si>
  <si>
    <t>Description</t>
  </si>
  <si>
    <t>Sample</t>
  </si>
  <si>
    <t>Date</t>
  </si>
  <si>
    <t>No.</t>
  </si>
  <si>
    <t>Bottle ID for Sample Bottle</t>
  </si>
  <si>
    <t>Total Suspended Solids</t>
  </si>
  <si>
    <t>mg/L</t>
  </si>
  <si>
    <t>pH</t>
  </si>
  <si>
    <t>Electrical Conductivity</t>
  </si>
  <si>
    <t>µS/cm</t>
  </si>
  <si>
    <t>Salinity</t>
  </si>
  <si>
    <t>PSU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</si>
  <si>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</si>
  <si>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</si>
  <si>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</si>
  <si>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</si>
  <si>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</si>
  <si>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</si>
  <si>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</si>
  <si>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µg/L</t>
  </si>
  <si>
    <t>Phaeophytin a</t>
  </si>
  <si>
    <t>Oxidized Nitrogen</t>
  </si>
  <si>
    <t>J19-0396</t>
  </si>
  <si>
    <t>AMB1</t>
  </si>
  <si>
    <t>MKY_AMB1</t>
  </si>
  <si>
    <t>&lt;0.2</t>
  </si>
  <si>
    <t>AMB2</t>
  </si>
  <si>
    <t>MYKY_AMB2</t>
  </si>
  <si>
    <t>AMB3B</t>
  </si>
  <si>
    <t>MKY_AMB3B</t>
  </si>
  <si>
    <t>AMB5</t>
  </si>
  <si>
    <t>MKY_AMB5</t>
  </si>
  <si>
    <t>AMB8</t>
  </si>
  <si>
    <t>MKY_AMB8</t>
  </si>
  <si>
    <t>AMB9</t>
  </si>
  <si>
    <t>MKY_AMB10</t>
  </si>
  <si>
    <t>AMB11</t>
  </si>
  <si>
    <t>MKY_AMB11</t>
  </si>
  <si>
    <t>AMB12</t>
  </si>
  <si>
    <t>MKY_AMB12</t>
  </si>
  <si>
    <t>CAM1</t>
  </si>
  <si>
    <t>MKY_CAM1</t>
  </si>
  <si>
    <t>CAM2</t>
  </si>
  <si>
    <t>MKY_CAM2</t>
  </si>
  <si>
    <t/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</si>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</sst>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0" fontId="1" fillId="2" borderId="0" xfId="0" applyNumberFormat="1" applyFont="1" applyFill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tabSelected="1" workbookViewId="0">
      <selection activeCell="I9" sqref="I9"/>
    </sheetView>
  </sheetViews>
  <sheetFormatPr defaultRowHeight="15" x14ac:dyDescent="0.25"/>
  <cols>
    <col min="2" max="2" width="9.28515625" bestFit="1" customWidth="1"/>
    <col min="4" max="4" width="23.7109375" bestFit="1" customWidth="1"/>
    <col min="5" max="5" width="23" bestFit="1" customWidth="1"/>
    <col min="6" max="6" width="20.42578125" style="18" bestFit="1" customWidth="1"/>
    <col min="7" max="7" width="5" style="18" bestFit="1" customWidth="1"/>
    <col min="8" max="8" width="18.85546875" style="18" bestFit="1" customWidth="1"/>
    <col min="9" max="9" width="6.85546875" style="18" bestFit="1" customWidth="1"/>
    <col min="10" max="10" width="12.5703125" style="18" bestFit="1" customWidth="1"/>
    <col min="11" max="11" width="21" style="18" bestFit="1" customWidth="1"/>
    <col min="12" max="12" width="21" style="18" customWidth="1"/>
    <col min="13" max="13" width="15.28515625" style="18" bestFit="1" customWidth="1"/>
    <col min="14" max="14" width="23.7109375" style="18" bestFit="1" customWidth="1"/>
    <col min="15" max="15" width="23.7109375" style="18" customWidth="1"/>
    <col min="16" max="16" width="11.7109375" style="18" bestFit="1" customWidth="1"/>
    <col min="17" max="17" width="12.42578125" style="18" bestFit="1" customWidth="1"/>
    <col min="18" max="18" width="15.42578125" style="18" bestFit="1" customWidth="1"/>
  </cols>
  <sheetData>
    <row r="1" spans="1:18" x14ac:dyDescent="0.25">
      <c r="A1" s="1" t="s">
        <v>0</v>
      </c>
      <c r="B1" s="2" t="s">
        <v>3</v>
      </c>
      <c r="C1" s="2" t="s">
        <v>3</v>
      </c>
      <c r="D1" s="2" t="s">
        <v>3</v>
      </c>
      <c r="E1" s="2" t="s">
        <v>6</v>
      </c>
      <c r="F1" s="2" t="s">
        <v>7</v>
      </c>
      <c r="G1" s="2" t="s">
        <v>9</v>
      </c>
      <c r="H1" s="2" t="s">
        <v>10</v>
      </c>
      <c r="I1" s="2" t="s">
        <v>12</v>
      </c>
      <c r="J1" s="2" t="s">
        <v>14</v>
      </c>
      <c r="K1" s="2" t="s">
        <v>16</v>
      </c>
      <c r="L1" s="19" t="s">
        <v>47</v>
      </c>
      <c r="M1" s="2" t="s">
        <v>17</v>
      </c>
      <c r="N1" s="2" t="s">
        <v>19</v>
      </c>
      <c r="O1" s="19" t="s">
        <v>48</v>
      </c>
      <c r="P1" s="2" t="s">
        <v>20</v>
      </c>
      <c r="Q1" s="2" t="s">
        <v>22</v>
      </c>
      <c r="R1" s="3" t="s">
        <v>23</v>
      </c>
    </row>
    <row r="2" spans="1:18" x14ac:dyDescent="0.25">
      <c r="A2" s="4"/>
      <c r="B2" s="6" t="s">
        <v>5</v>
      </c>
      <c r="C2" s="6" t="s">
        <v>2</v>
      </c>
      <c r="D2" s="6" t="s">
        <v>4</v>
      </c>
      <c r="E2" s="6"/>
      <c r="F2" s="6"/>
      <c r="G2" s="6"/>
      <c r="H2" s="6"/>
      <c r="I2" s="6"/>
      <c r="J2" s="6"/>
      <c r="K2" s="6"/>
      <c r="L2" s="20"/>
      <c r="M2" s="6"/>
      <c r="N2" s="6"/>
      <c r="O2" s="20"/>
      <c r="P2" s="6"/>
      <c r="Q2" s="6"/>
      <c r="R2" s="7"/>
    </row>
    <row r="3" spans="1:18" x14ac:dyDescent="0.25">
      <c r="A3" s="4" t="s">
        <v>1</v>
      </c>
      <c r="B3" s="5"/>
      <c r="C3" s="5"/>
      <c r="D3" s="5"/>
      <c r="E3" s="6"/>
      <c r="F3" s="6" t="s">
        <v>8</v>
      </c>
      <c r="G3" s="6"/>
      <c r="H3" s="6" t="s">
        <v>11</v>
      </c>
      <c r="I3" s="6" t="s">
        <v>13</v>
      </c>
      <c r="J3" s="6" t="s">
        <v>15</v>
      </c>
      <c r="K3" s="6" t="s">
        <v>15</v>
      </c>
      <c r="L3" s="20" t="s">
        <v>15</v>
      </c>
      <c r="M3" s="6" t="s">
        <v>18</v>
      </c>
      <c r="N3" s="6" t="s">
        <v>18</v>
      </c>
      <c r="O3" s="20" t="s">
        <v>18</v>
      </c>
      <c r="P3" s="6" t="s">
        <v>21</v>
      </c>
      <c r="Q3" s="6" t="s">
        <v>21</v>
      </c>
      <c r="R3" s="7" t="s">
        <v>15</v>
      </c>
    </row>
    <row r="4" spans="1:18" x14ac:dyDescent="0.25">
      <c r="A4" s="8" t="s">
        <v>24</v>
      </c>
      <c r="B4" s="9">
        <v>1</v>
      </c>
      <c r="C4" s="8" t="s">
        <v>25</v>
      </c>
      <c r="D4" s="15">
        <v>43804</v>
      </c>
      <c r="E4" s="10" t="s">
        <v>26</v>
      </c>
      <c r="F4" s="16">
        <v>1.9</v>
      </c>
      <c r="G4" s="16">
        <v>8.2899999999999991</v>
      </c>
      <c r="H4" s="16">
        <v>55540</v>
      </c>
      <c r="I4" s="16">
        <v>36.799999999999997</v>
      </c>
      <c r="J4" s="16">
        <v>216</v>
      </c>
      <c r="K4" s="16">
        <v>127</v>
      </c>
      <c r="L4" s="21">
        <f>+J4-K4</f>
        <v>89</v>
      </c>
      <c r="M4" s="16">
        <v>9</v>
      </c>
      <c r="N4" s="16">
        <v>5</v>
      </c>
      <c r="O4" s="21">
        <f>+M4-N4</f>
        <v>4</v>
      </c>
      <c r="P4" s="16">
        <v>0.87</v>
      </c>
      <c r="Q4" s="16" t="s">
        <v>27</v>
      </c>
      <c r="R4" s="17"/>
    </row>
    <row r="5" spans="1:18" x14ac:dyDescent="0.25">
      <c r="A5" s="8" t="s">
        <v>24</v>
      </c>
      <c r="B5" s="9">
        <v>2</v>
      </c>
      <c r="C5" s="8" t="s">
        <v>28</v>
      </c>
      <c r="D5" s="15">
        <v>43804</v>
      </c>
      <c r="E5" s="10" t="s">
        <v>29</v>
      </c>
      <c r="F5" s="16">
        <v>2</v>
      </c>
      <c r="G5" s="16">
        <v>8.23</v>
      </c>
      <c r="H5" s="16">
        <v>55080</v>
      </c>
      <c r="I5" s="16">
        <v>36.5</v>
      </c>
      <c r="J5" s="16">
        <v>181</v>
      </c>
      <c r="K5" s="16">
        <v>119</v>
      </c>
      <c r="L5" s="21">
        <f t="shared" ref="L5:L13" si="0">+J5-K5</f>
        <v>62</v>
      </c>
      <c r="M5" s="16">
        <v>9</v>
      </c>
      <c r="N5" s="16">
        <v>7</v>
      </c>
      <c r="O5" s="21">
        <f t="shared" ref="O5:O13" si="1">+M5-N5</f>
        <v>2</v>
      </c>
      <c r="P5" s="16">
        <v>1.06</v>
      </c>
      <c r="Q5" s="16">
        <v>0.28999999999999998</v>
      </c>
      <c r="R5" s="17"/>
    </row>
    <row r="6" spans="1:18" x14ac:dyDescent="0.25">
      <c r="A6" s="8" t="s">
        <v>24</v>
      </c>
      <c r="B6" s="9">
        <v>3</v>
      </c>
      <c r="C6" s="8" t="s">
        <v>30</v>
      </c>
      <c r="D6" s="15">
        <v>43803</v>
      </c>
      <c r="E6" s="10" t="s">
        <v>31</v>
      </c>
      <c r="F6" s="16">
        <v>1.7</v>
      </c>
      <c r="G6" s="16">
        <v>8.25</v>
      </c>
      <c r="H6" s="16">
        <v>55250</v>
      </c>
      <c r="I6" s="16">
        <v>36.6</v>
      </c>
      <c r="J6" s="16">
        <v>187</v>
      </c>
      <c r="K6" s="16">
        <v>123</v>
      </c>
      <c r="L6" s="21">
        <f t="shared" si="0"/>
        <v>64</v>
      </c>
      <c r="M6" s="16">
        <v>8</v>
      </c>
      <c r="N6" s="16">
        <v>5</v>
      </c>
      <c r="O6" s="21">
        <f t="shared" si="1"/>
        <v>3</v>
      </c>
      <c r="P6" s="16">
        <v>0.53</v>
      </c>
      <c r="Q6" s="16" t="s">
        <v>27</v>
      </c>
      <c r="R6" s="17"/>
    </row>
    <row r="7" spans="1:18" x14ac:dyDescent="0.25">
      <c r="A7" s="8" t="s">
        <v>24</v>
      </c>
      <c r="B7" s="9">
        <v>4</v>
      </c>
      <c r="C7" s="8" t="s">
        <v>32</v>
      </c>
      <c r="D7" s="15">
        <v>43803</v>
      </c>
      <c r="E7" s="10" t="s">
        <v>33</v>
      </c>
      <c r="F7" s="16">
        <v>2.4</v>
      </c>
      <c r="G7" s="16">
        <v>8.23</v>
      </c>
      <c r="H7" s="16">
        <v>55420</v>
      </c>
      <c r="I7" s="16">
        <v>36.799999999999997</v>
      </c>
      <c r="J7" s="16">
        <v>200</v>
      </c>
      <c r="K7" s="16">
        <v>109</v>
      </c>
      <c r="L7" s="21">
        <f t="shared" si="0"/>
        <v>91</v>
      </c>
      <c r="M7" s="16">
        <v>10</v>
      </c>
      <c r="N7" s="16">
        <v>7</v>
      </c>
      <c r="O7" s="21">
        <f t="shared" si="1"/>
        <v>3</v>
      </c>
      <c r="P7" s="16">
        <v>0.51</v>
      </c>
      <c r="Q7" s="16">
        <v>0.23</v>
      </c>
      <c r="R7" s="17"/>
    </row>
    <row r="8" spans="1:18" x14ac:dyDescent="0.25">
      <c r="A8" s="8" t="s">
        <v>24</v>
      </c>
      <c r="B8" s="9">
        <v>5</v>
      </c>
      <c r="C8" s="8" t="s">
        <v>34</v>
      </c>
      <c r="D8" s="15">
        <v>43803</v>
      </c>
      <c r="E8" s="10" t="s">
        <v>35</v>
      </c>
      <c r="F8" s="16">
        <v>1.6</v>
      </c>
      <c r="G8" s="16">
        <v>8.2899999999999991</v>
      </c>
      <c r="H8" s="16">
        <v>55090</v>
      </c>
      <c r="I8" s="16">
        <v>36.5</v>
      </c>
      <c r="J8" s="16">
        <v>213</v>
      </c>
      <c r="K8" s="16">
        <v>126</v>
      </c>
      <c r="L8" s="21">
        <f t="shared" si="0"/>
        <v>87</v>
      </c>
      <c r="M8" s="16">
        <v>12</v>
      </c>
      <c r="N8" s="16">
        <v>9</v>
      </c>
      <c r="O8" s="21">
        <f t="shared" si="1"/>
        <v>3</v>
      </c>
      <c r="P8" s="16">
        <v>0.39</v>
      </c>
      <c r="Q8" s="16" t="s">
        <v>27</v>
      </c>
      <c r="R8" s="17"/>
    </row>
    <row r="9" spans="1:18" x14ac:dyDescent="0.25">
      <c r="A9" s="8" t="s">
        <v>24</v>
      </c>
      <c r="B9" s="9">
        <v>6</v>
      </c>
      <c r="C9" s="8" t="s">
        <v>36</v>
      </c>
      <c r="D9" s="15">
        <v>43804</v>
      </c>
      <c r="E9" s="10" t="s">
        <v>37</v>
      </c>
      <c r="F9" s="16">
        <v>2.1</v>
      </c>
      <c r="G9" s="16">
        <v>8.26</v>
      </c>
      <c r="H9" s="16">
        <v>55330</v>
      </c>
      <c r="I9" s="16">
        <v>36.700000000000003</v>
      </c>
      <c r="J9" s="16">
        <v>204</v>
      </c>
      <c r="K9" s="16">
        <v>129</v>
      </c>
      <c r="L9" s="21">
        <f t="shared" si="0"/>
        <v>75</v>
      </c>
      <c r="M9" s="16">
        <v>9</v>
      </c>
      <c r="N9" s="16">
        <v>8</v>
      </c>
      <c r="O9" s="21">
        <f t="shared" si="1"/>
        <v>1</v>
      </c>
      <c r="P9" s="16">
        <v>0.65</v>
      </c>
      <c r="Q9" s="16" t="s">
        <v>27</v>
      </c>
      <c r="R9" s="17"/>
    </row>
    <row r="10" spans="1:18" x14ac:dyDescent="0.25">
      <c r="A10" s="8" t="s">
        <v>24</v>
      </c>
      <c r="B10" s="9">
        <v>7</v>
      </c>
      <c r="C10" s="8" t="s">
        <v>38</v>
      </c>
      <c r="D10" s="15">
        <v>43803</v>
      </c>
      <c r="E10" s="10" t="s">
        <v>39</v>
      </c>
      <c r="F10" s="16">
        <v>1.8</v>
      </c>
      <c r="G10" s="16">
        <v>8.2200000000000006</v>
      </c>
      <c r="H10" s="16">
        <v>55000</v>
      </c>
      <c r="I10" s="16">
        <v>36.4</v>
      </c>
      <c r="J10" s="16">
        <v>181</v>
      </c>
      <c r="K10" s="16">
        <v>163</v>
      </c>
      <c r="L10" s="21">
        <f t="shared" si="0"/>
        <v>18</v>
      </c>
      <c r="M10" s="16">
        <v>13</v>
      </c>
      <c r="N10" s="16">
        <v>8</v>
      </c>
      <c r="O10" s="21">
        <f t="shared" si="1"/>
        <v>5</v>
      </c>
      <c r="P10" s="16">
        <v>0.86</v>
      </c>
      <c r="Q10" s="16">
        <v>0.33</v>
      </c>
      <c r="R10" s="17"/>
    </row>
    <row r="11" spans="1:18" x14ac:dyDescent="0.25">
      <c r="A11" s="8" t="s">
        <v>24</v>
      </c>
      <c r="B11" s="9">
        <v>8</v>
      </c>
      <c r="C11" s="8" t="s">
        <v>40</v>
      </c>
      <c r="D11" s="15">
        <v>43803</v>
      </c>
      <c r="E11" s="10" t="s">
        <v>41</v>
      </c>
      <c r="F11" s="16">
        <v>1</v>
      </c>
      <c r="G11" s="16">
        <v>8.25</v>
      </c>
      <c r="H11" s="16">
        <v>54110</v>
      </c>
      <c r="I11" s="16">
        <v>35.799999999999997</v>
      </c>
      <c r="J11" s="16">
        <v>181</v>
      </c>
      <c r="K11" s="16">
        <v>124</v>
      </c>
      <c r="L11" s="21">
        <f t="shared" si="0"/>
        <v>57</v>
      </c>
      <c r="M11" s="16">
        <v>9</v>
      </c>
      <c r="N11" s="16">
        <v>6</v>
      </c>
      <c r="O11" s="21">
        <f t="shared" si="1"/>
        <v>3</v>
      </c>
      <c r="P11" s="16">
        <v>0.22</v>
      </c>
      <c r="Q11" s="16" t="s">
        <v>27</v>
      </c>
      <c r="R11" s="16">
        <v>1</v>
      </c>
    </row>
    <row r="12" spans="1:18" x14ac:dyDescent="0.25">
      <c r="A12" s="8" t="s">
        <v>24</v>
      </c>
      <c r="B12" s="9">
        <v>9</v>
      </c>
      <c r="C12" s="8" t="s">
        <v>42</v>
      </c>
      <c r="D12" s="15">
        <v>43804</v>
      </c>
      <c r="E12" s="10" t="s">
        <v>43</v>
      </c>
      <c r="F12" s="16">
        <v>1.8</v>
      </c>
      <c r="G12" s="16">
        <v>8.32</v>
      </c>
      <c r="H12" s="16">
        <v>56010</v>
      </c>
      <c r="I12" s="16">
        <v>37.200000000000003</v>
      </c>
      <c r="J12" s="16">
        <v>164</v>
      </c>
      <c r="K12" s="16">
        <v>114</v>
      </c>
      <c r="L12" s="21">
        <f t="shared" si="0"/>
        <v>50</v>
      </c>
      <c r="M12" s="16">
        <v>8</v>
      </c>
      <c r="N12" s="16">
        <v>5</v>
      </c>
      <c r="O12" s="21">
        <f t="shared" si="1"/>
        <v>3</v>
      </c>
      <c r="P12" s="16" t="s">
        <v>27</v>
      </c>
      <c r="Q12" s="16" t="s">
        <v>27</v>
      </c>
      <c r="R12" s="16">
        <v>1</v>
      </c>
    </row>
    <row r="13" spans="1:18" x14ac:dyDescent="0.25">
      <c r="A13" s="8" t="s">
        <v>24</v>
      </c>
      <c r="B13" s="9">
        <v>10</v>
      </c>
      <c r="C13" s="8" t="s">
        <v>44</v>
      </c>
      <c r="D13" s="15">
        <v>43804</v>
      </c>
      <c r="E13" s="10" t="s">
        <v>45</v>
      </c>
      <c r="F13" s="16">
        <v>0.44</v>
      </c>
      <c r="G13" s="16">
        <v>8.25</v>
      </c>
      <c r="H13" s="16">
        <v>55840</v>
      </c>
      <c r="I13" s="16">
        <v>37.1</v>
      </c>
      <c r="J13" s="16">
        <v>161</v>
      </c>
      <c r="K13" s="16">
        <v>119</v>
      </c>
      <c r="L13" s="21">
        <f t="shared" si="0"/>
        <v>42</v>
      </c>
      <c r="M13" s="16">
        <v>8</v>
      </c>
      <c r="N13" s="16">
        <v>5</v>
      </c>
      <c r="O13" s="21">
        <f t="shared" si="1"/>
        <v>3</v>
      </c>
      <c r="P13" s="16">
        <v>0.53</v>
      </c>
      <c r="Q13" s="16">
        <v>0.37</v>
      </c>
      <c r="R13" s="16">
        <v>2</v>
      </c>
    </row>
    <row r="14" spans="1:18" x14ac:dyDescent="0.25">
      <c r="A14" s="12" t="s">
        <v>46</v>
      </c>
      <c r="B14" s="14"/>
      <c r="C14" s="12" t="s">
        <v>46</v>
      </c>
      <c r="D14" s="13"/>
      <c r="E14" s="11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325AF4-82F2-460C-8FB6-22354789C48E}"/>
</file>

<file path=customXml/itemProps2.xml><?xml version="1.0" encoding="utf-8"?>
<ds:datastoreItem xmlns:ds="http://schemas.openxmlformats.org/officeDocument/2006/customXml" ds:itemID="{479D0F89-1C64-4BB0-BCBA-9ABD5861A46E}"/>
</file>

<file path=customXml/itemProps3.xml><?xml version="1.0" encoding="utf-8"?>
<ds:datastoreItem xmlns:ds="http://schemas.openxmlformats.org/officeDocument/2006/customXml" ds:itemID="{027B0698-098B-42DE-9690-02528D7CF6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Jordan Iles</cp:lastModifiedBy>
  <dcterms:created xsi:type="dcterms:W3CDTF">2020-01-16T06:16:48Z</dcterms:created>
  <dcterms:modified xsi:type="dcterms:W3CDTF">2020-01-24T04:19:44Z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
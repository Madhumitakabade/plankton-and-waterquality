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20\Nathan\nqbp\"/>
    </mc:Choice>
  </mc:AlternateContent>
  <bookViews>
    <workbookView xWindow="0" yWindow="0" windowWidth="13965" windowHeight="229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4" i="1"/>
  <c r="K5" i="1"/>
  <c r="K6" i="1"/>
  <c r="K7" i="1"/>
  <c r="K8" i="1"/>
  <c r="K9" i="1"/>
  <c r="K10" i="1"/>
  <c r="K11" i="1"/>
  <c r="K12" i="1"/>
  <c r="K13" i="1"/>
  <c r="K14" i="1"/>
  <c r="K15" i="1"/>
  <c r="K4" i="1"/>
</calcChain>
</file>

<file path=xl/sharedStrings.xml><?xml version="1.0" encoding="utf-8"?>
<sst xmlns="http://schemas.openxmlformats.org/spreadsheetml/2006/main" count="64" uniqueCount="41">
  <si>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</si>
  <si>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</si>
  <si>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</si>
  <si>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</si>
  <si>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</si>
  <si>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</si>
  <si>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</si>
  <si>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</si>
  <si>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</si>
  <si>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</si>
  <si>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</si>
  <si>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</si>
  <si>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</si>
  <si>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</si>
  <si>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</si>
  <si>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</si>
  <si>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</si>
  <si>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</si>
  <si>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</si>
  <si>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</si>
  <si>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</si>
  <si>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</si>
  <si>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Oxidized Nitrogen</t>
  </si>
  <si>
    <t>J20-0007</t>
  </si>
  <si>
    <t/>
  </si>
  <si>
    <t>MKY_AMB1</t>
  </si>
  <si>
    <t>MKY_AMB3B</t>
  </si>
  <si>
    <t>MKY_AMB8</t>
  </si>
  <si>
    <t>MKY_AMB10</t>
  </si>
  <si>
    <t>MKY_AMB11</t>
  </si>
  <si>
    <t>MKY_AMB12</t>
  </si>
  <si>
    <t>&lt;0.2</t>
  </si>
  <si>
    <t>&lt;1</t>
  </si>
  <si>
    <t>MKY_CAM1</t>
  </si>
  <si>
    <t>MKY_CAM2</t>
  </si>
  <si>
    <t>MKY_CAM3</t>
  </si>
  <si>
    <t>MKY_AMB2</t>
  </si>
  <si>
    <t>MKY_AMB5</t>
  </si>
  <si>
    <t>MKY_AMB6B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</si>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</sst>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3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E7" sqref="E7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bestFit="1" customWidth="1"/>
    <col min="5" max="5" width="20.42578125" style="18" bestFit="1" customWidth="1"/>
    <col min="6" max="6" width="18.85546875" style="18" bestFit="1" customWidth="1"/>
    <col min="7" max="7" width="6.85546875" style="18" bestFit="1" customWidth="1"/>
    <col min="8" max="8" width="5" style="18" bestFit="1" customWidth="1"/>
    <col min="9" max="9" width="12.5703125" style="18" bestFit="1" customWidth="1"/>
    <col min="10" max="10" width="21" style="18" bestFit="1" customWidth="1"/>
    <col min="11" max="11" width="21" style="18" customWidth="1"/>
    <col min="12" max="12" width="15.28515625" style="18" bestFit="1" customWidth="1"/>
    <col min="13" max="13" width="23.7109375" style="18" bestFit="1" customWidth="1"/>
    <col min="14" max="14" width="23.7109375" style="18" customWidth="1"/>
    <col min="15" max="15" width="11.7109375" style="18" bestFit="1" customWidth="1"/>
    <col min="16" max="16" width="12.42578125" style="18" bestFit="1" customWidth="1"/>
    <col min="17" max="17" width="15.42578125" style="18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15</v>
      </c>
      <c r="K1" s="19" t="s">
        <v>39</v>
      </c>
      <c r="L1" s="2" t="s">
        <v>16</v>
      </c>
      <c r="M1" s="2" t="s">
        <v>18</v>
      </c>
      <c r="N1" s="19" t="s">
        <v>40</v>
      </c>
      <c r="O1" s="2" t="s">
        <v>19</v>
      </c>
      <c r="P1" s="2" t="s">
        <v>21</v>
      </c>
      <c r="Q1" s="3" t="s">
        <v>22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0"/>
      <c r="O2" s="6"/>
      <c r="P2" s="6"/>
      <c r="Q2" s="7"/>
    </row>
    <row r="3" spans="1:17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 t="s">
        <v>11</v>
      </c>
      <c r="H3" s="6"/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0" t="s">
        <v>17</v>
      </c>
      <c r="O3" s="6" t="s">
        <v>20</v>
      </c>
      <c r="P3" s="6" t="s">
        <v>20</v>
      </c>
      <c r="Q3" s="7" t="s">
        <v>14</v>
      </c>
    </row>
    <row r="4" spans="1:17" x14ac:dyDescent="0.25">
      <c r="A4" s="8" t="s">
        <v>23</v>
      </c>
      <c r="B4" s="9">
        <v>1</v>
      </c>
      <c r="C4" s="15">
        <v>43841</v>
      </c>
      <c r="D4" s="10" t="s">
        <v>25</v>
      </c>
      <c r="E4" s="16">
        <v>5.6</v>
      </c>
      <c r="F4" s="16">
        <v>55320</v>
      </c>
      <c r="G4" s="16">
        <v>36.700000000000003</v>
      </c>
      <c r="H4" s="16">
        <v>8.2899999999999991</v>
      </c>
      <c r="I4" s="16">
        <v>130</v>
      </c>
      <c r="J4" s="16">
        <v>126</v>
      </c>
      <c r="K4" s="21">
        <f>+I4-J4</f>
        <v>4</v>
      </c>
      <c r="L4" s="16">
        <v>9</v>
      </c>
      <c r="M4" s="16">
        <v>8</v>
      </c>
      <c r="N4" s="21">
        <f>+L4-M4</f>
        <v>1</v>
      </c>
      <c r="O4" s="16">
        <v>0.45</v>
      </c>
      <c r="P4" s="16">
        <v>0.4</v>
      </c>
      <c r="Q4" s="17"/>
    </row>
    <row r="5" spans="1:17" x14ac:dyDescent="0.25">
      <c r="A5" s="8" t="s">
        <v>23</v>
      </c>
      <c r="B5" s="9">
        <v>2</v>
      </c>
      <c r="C5" s="15">
        <v>43842</v>
      </c>
      <c r="D5" s="10" t="s">
        <v>26</v>
      </c>
      <c r="E5" s="16">
        <v>1.1000000000000001</v>
      </c>
      <c r="F5" s="16">
        <v>54990</v>
      </c>
      <c r="G5" s="16">
        <v>36.4</v>
      </c>
      <c r="H5" s="16">
        <v>8.31</v>
      </c>
      <c r="I5" s="16">
        <v>136</v>
      </c>
      <c r="J5" s="16">
        <v>105</v>
      </c>
      <c r="K5" s="21">
        <f t="shared" ref="K5:K15" si="0">+I5-J5</f>
        <v>31</v>
      </c>
      <c r="L5" s="16">
        <v>9</v>
      </c>
      <c r="M5" s="16">
        <v>7</v>
      </c>
      <c r="N5" s="21">
        <f t="shared" ref="N5:N15" si="1">+L5-M5</f>
        <v>2</v>
      </c>
      <c r="O5" s="16">
        <v>0.5</v>
      </c>
      <c r="P5" s="16">
        <v>0.27</v>
      </c>
      <c r="Q5" s="17"/>
    </row>
    <row r="6" spans="1:17" x14ac:dyDescent="0.25">
      <c r="A6" s="8" t="s">
        <v>23</v>
      </c>
      <c r="B6" s="9">
        <v>3</v>
      </c>
      <c r="C6" s="15">
        <v>43842</v>
      </c>
      <c r="D6" s="10" t="s">
        <v>27</v>
      </c>
      <c r="E6" s="16">
        <v>1</v>
      </c>
      <c r="F6" s="16">
        <v>55200</v>
      </c>
      <c r="G6" s="16">
        <v>36.6</v>
      </c>
      <c r="H6" s="16">
        <v>8.31</v>
      </c>
      <c r="I6" s="16">
        <v>273</v>
      </c>
      <c r="J6" s="16">
        <v>110</v>
      </c>
      <c r="K6" s="21">
        <f t="shared" si="0"/>
        <v>163</v>
      </c>
      <c r="L6" s="16">
        <v>5</v>
      </c>
      <c r="M6" s="16">
        <v>4</v>
      </c>
      <c r="N6" s="21">
        <f t="shared" si="1"/>
        <v>1</v>
      </c>
      <c r="O6" s="16">
        <v>2.35</v>
      </c>
      <c r="P6" s="16">
        <v>0.53</v>
      </c>
      <c r="Q6" s="17"/>
    </row>
    <row r="7" spans="1:17" x14ac:dyDescent="0.25">
      <c r="A7" s="8" t="s">
        <v>23</v>
      </c>
      <c r="B7" s="9">
        <v>4</v>
      </c>
      <c r="C7" s="15">
        <v>43841</v>
      </c>
      <c r="D7" s="10" t="s">
        <v>28</v>
      </c>
      <c r="E7" s="16">
        <v>4.3</v>
      </c>
      <c r="F7" s="16">
        <v>55240</v>
      </c>
      <c r="G7" s="16">
        <v>36.6</v>
      </c>
      <c r="H7" s="16">
        <v>8.2799999999999994</v>
      </c>
      <c r="I7" s="16">
        <v>109</v>
      </c>
      <c r="J7" s="16">
        <v>95</v>
      </c>
      <c r="K7" s="21">
        <f t="shared" si="0"/>
        <v>14</v>
      </c>
      <c r="L7" s="16">
        <v>9</v>
      </c>
      <c r="M7" s="16">
        <v>6</v>
      </c>
      <c r="N7" s="21">
        <f t="shared" si="1"/>
        <v>3</v>
      </c>
      <c r="O7" s="16">
        <v>0.61</v>
      </c>
      <c r="P7" s="16">
        <v>0.28999999999999998</v>
      </c>
      <c r="Q7" s="17"/>
    </row>
    <row r="8" spans="1:17" x14ac:dyDescent="0.25">
      <c r="A8" s="8" t="s">
        <v>23</v>
      </c>
      <c r="B8" s="9">
        <v>5</v>
      </c>
      <c r="C8" s="15">
        <v>43842</v>
      </c>
      <c r="D8" s="10" t="s">
        <v>29</v>
      </c>
      <c r="E8" s="16">
        <v>3.6</v>
      </c>
      <c r="F8" s="16">
        <v>54390</v>
      </c>
      <c r="G8" s="16">
        <v>36</v>
      </c>
      <c r="H8" s="16">
        <v>8.24</v>
      </c>
      <c r="I8" s="16">
        <v>209</v>
      </c>
      <c r="J8" s="16">
        <v>117</v>
      </c>
      <c r="K8" s="21">
        <f t="shared" si="0"/>
        <v>92</v>
      </c>
      <c r="L8" s="16">
        <v>12</v>
      </c>
      <c r="M8" s="16">
        <v>8</v>
      </c>
      <c r="N8" s="21">
        <f t="shared" si="1"/>
        <v>4</v>
      </c>
      <c r="O8" s="16">
        <v>1.19</v>
      </c>
      <c r="P8" s="16">
        <v>0.39</v>
      </c>
      <c r="Q8" s="17"/>
    </row>
    <row r="9" spans="1:17" x14ac:dyDescent="0.25">
      <c r="A9" s="8" t="s">
        <v>23</v>
      </c>
      <c r="B9" s="9">
        <v>6</v>
      </c>
      <c r="C9" s="15">
        <v>43842</v>
      </c>
      <c r="D9" s="10" t="s">
        <v>30</v>
      </c>
      <c r="E9" s="16">
        <v>4.7</v>
      </c>
      <c r="F9" s="16">
        <v>53900</v>
      </c>
      <c r="G9" s="16">
        <v>35.6</v>
      </c>
      <c r="H9" s="16">
        <v>8.31</v>
      </c>
      <c r="I9" s="16">
        <v>138</v>
      </c>
      <c r="J9" s="16">
        <v>105</v>
      </c>
      <c r="K9" s="21">
        <f t="shared" si="0"/>
        <v>33</v>
      </c>
      <c r="L9" s="16">
        <v>8</v>
      </c>
      <c r="M9" s="16">
        <v>6</v>
      </c>
      <c r="N9" s="21">
        <f t="shared" si="1"/>
        <v>2</v>
      </c>
      <c r="O9" s="16">
        <v>0.63</v>
      </c>
      <c r="P9" s="16" t="s">
        <v>31</v>
      </c>
      <c r="Q9" s="16" t="s">
        <v>32</v>
      </c>
    </row>
    <row r="10" spans="1:17" x14ac:dyDescent="0.25">
      <c r="A10" s="8" t="s">
        <v>23</v>
      </c>
      <c r="B10" s="9">
        <v>7</v>
      </c>
      <c r="C10" s="15">
        <v>43841</v>
      </c>
      <c r="D10" s="10" t="s">
        <v>33</v>
      </c>
      <c r="E10" s="16">
        <v>9.1</v>
      </c>
      <c r="F10" s="16">
        <v>56440</v>
      </c>
      <c r="G10" s="16">
        <v>37.5</v>
      </c>
      <c r="H10" s="16">
        <v>8.26</v>
      </c>
      <c r="I10" s="16">
        <v>160</v>
      </c>
      <c r="J10" s="16">
        <v>126</v>
      </c>
      <c r="K10" s="21">
        <f t="shared" si="0"/>
        <v>34</v>
      </c>
      <c r="L10" s="16">
        <v>10</v>
      </c>
      <c r="M10" s="16">
        <v>8</v>
      </c>
      <c r="N10" s="21">
        <f t="shared" si="1"/>
        <v>2</v>
      </c>
      <c r="O10" s="16">
        <v>1.1599999999999999</v>
      </c>
      <c r="P10" s="16">
        <v>0.33</v>
      </c>
      <c r="Q10" s="16">
        <v>3</v>
      </c>
    </row>
    <row r="11" spans="1:17" x14ac:dyDescent="0.25">
      <c r="A11" s="8" t="s">
        <v>23</v>
      </c>
      <c r="B11" s="9">
        <v>8</v>
      </c>
      <c r="C11" s="15">
        <v>43841</v>
      </c>
      <c r="D11" s="10" t="s">
        <v>34</v>
      </c>
      <c r="E11" s="16">
        <v>6.8</v>
      </c>
      <c r="F11" s="16">
        <v>56530</v>
      </c>
      <c r="G11" s="16">
        <v>37.6</v>
      </c>
      <c r="H11" s="16">
        <v>8.27</v>
      </c>
      <c r="I11" s="16">
        <v>110</v>
      </c>
      <c r="J11" s="16">
        <v>92</v>
      </c>
      <c r="K11" s="21">
        <f t="shared" si="0"/>
        <v>18</v>
      </c>
      <c r="L11" s="16">
        <v>10</v>
      </c>
      <c r="M11" s="16">
        <v>7</v>
      </c>
      <c r="N11" s="21">
        <f t="shared" si="1"/>
        <v>3</v>
      </c>
      <c r="O11" s="16">
        <v>0.75</v>
      </c>
      <c r="P11" s="16" t="s">
        <v>31</v>
      </c>
      <c r="Q11" s="16">
        <v>2</v>
      </c>
    </row>
    <row r="12" spans="1:17" x14ac:dyDescent="0.25">
      <c r="A12" s="8" t="s">
        <v>23</v>
      </c>
      <c r="B12" s="9">
        <v>9</v>
      </c>
      <c r="C12" s="15">
        <v>43841</v>
      </c>
      <c r="D12" s="10" t="s">
        <v>35</v>
      </c>
      <c r="E12" s="16">
        <v>7.9</v>
      </c>
      <c r="F12" s="16">
        <v>56820</v>
      </c>
      <c r="G12" s="16">
        <v>37.799999999999997</v>
      </c>
      <c r="H12" s="16">
        <v>8.2799999999999994</v>
      </c>
      <c r="I12" s="16">
        <v>123</v>
      </c>
      <c r="J12" s="16">
        <v>101</v>
      </c>
      <c r="K12" s="21">
        <f t="shared" si="0"/>
        <v>22</v>
      </c>
      <c r="L12" s="16">
        <v>11</v>
      </c>
      <c r="M12" s="16">
        <v>7</v>
      </c>
      <c r="N12" s="21">
        <f t="shared" si="1"/>
        <v>4</v>
      </c>
      <c r="O12" s="16">
        <v>2.1800000000000002</v>
      </c>
      <c r="P12" s="16">
        <v>0.32</v>
      </c>
      <c r="Q12" s="16">
        <v>1</v>
      </c>
    </row>
    <row r="13" spans="1:17" x14ac:dyDescent="0.25">
      <c r="A13" s="8" t="s">
        <v>23</v>
      </c>
      <c r="B13" s="9">
        <v>10</v>
      </c>
      <c r="C13" s="15">
        <v>43863</v>
      </c>
      <c r="D13" s="10" t="s">
        <v>36</v>
      </c>
      <c r="E13" s="16">
        <v>3.6</v>
      </c>
      <c r="F13" s="16">
        <v>52450</v>
      </c>
      <c r="G13" s="16">
        <v>34.5</v>
      </c>
      <c r="H13" s="16">
        <v>8.1999999999999993</v>
      </c>
      <c r="I13" s="16">
        <v>191</v>
      </c>
      <c r="J13" s="16">
        <v>170</v>
      </c>
      <c r="K13" s="21">
        <f t="shared" si="0"/>
        <v>21</v>
      </c>
      <c r="L13" s="16">
        <v>6</v>
      </c>
      <c r="M13" s="16">
        <v>4</v>
      </c>
      <c r="N13" s="21">
        <f t="shared" si="1"/>
        <v>2</v>
      </c>
      <c r="O13" s="16">
        <v>0.6</v>
      </c>
      <c r="P13" s="16" t="s">
        <v>31</v>
      </c>
      <c r="Q13" s="17"/>
    </row>
    <row r="14" spans="1:17" x14ac:dyDescent="0.25">
      <c r="A14" s="8" t="s">
        <v>23</v>
      </c>
      <c r="B14" s="9">
        <v>11</v>
      </c>
      <c r="C14" s="15">
        <v>43863</v>
      </c>
      <c r="D14" s="10" t="s">
        <v>37</v>
      </c>
      <c r="E14" s="16">
        <v>2.9</v>
      </c>
      <c r="F14" s="16">
        <v>53060</v>
      </c>
      <c r="G14" s="16">
        <v>35</v>
      </c>
      <c r="H14" s="16">
        <v>8.3000000000000007</v>
      </c>
      <c r="I14" s="16">
        <v>154</v>
      </c>
      <c r="J14" s="16">
        <v>122</v>
      </c>
      <c r="K14" s="21">
        <f t="shared" si="0"/>
        <v>32</v>
      </c>
      <c r="L14" s="16">
        <v>6</v>
      </c>
      <c r="M14" s="16">
        <v>4</v>
      </c>
      <c r="N14" s="21">
        <f t="shared" si="1"/>
        <v>2</v>
      </c>
      <c r="O14" s="16" t="s">
        <v>31</v>
      </c>
      <c r="P14" s="16" t="s">
        <v>31</v>
      </c>
      <c r="Q14" s="17"/>
    </row>
    <row r="15" spans="1:17" x14ac:dyDescent="0.25">
      <c r="A15" s="8" t="s">
        <v>23</v>
      </c>
      <c r="B15" s="9">
        <v>12</v>
      </c>
      <c r="C15" s="15">
        <v>43863</v>
      </c>
      <c r="D15" s="10" t="s">
        <v>38</v>
      </c>
      <c r="E15" s="16">
        <v>3.4</v>
      </c>
      <c r="F15" s="22">
        <v>40920</v>
      </c>
      <c r="G15" s="16">
        <v>26.2</v>
      </c>
      <c r="H15" s="16">
        <v>8.31</v>
      </c>
      <c r="I15" s="16">
        <v>266</v>
      </c>
      <c r="J15" s="16">
        <v>228</v>
      </c>
      <c r="K15" s="21">
        <f t="shared" si="0"/>
        <v>38</v>
      </c>
      <c r="L15" s="16">
        <v>16</v>
      </c>
      <c r="M15" s="16">
        <v>9</v>
      </c>
      <c r="N15" s="21">
        <f t="shared" si="1"/>
        <v>7</v>
      </c>
      <c r="O15" s="16">
        <v>1.69</v>
      </c>
      <c r="P15" s="16" t="s">
        <v>31</v>
      </c>
      <c r="Q15" s="17"/>
    </row>
    <row r="16" spans="1:17" x14ac:dyDescent="0.25">
      <c r="A16" s="11" t="s">
        <v>24</v>
      </c>
      <c r="B16" s="14"/>
      <c r="C16" s="13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50B6C-0457-4481-A662-DDB096746700}"/>
</file>

<file path=customXml/itemProps2.xml><?xml version="1.0" encoding="utf-8"?>
<ds:datastoreItem xmlns:ds="http://schemas.openxmlformats.org/officeDocument/2006/customXml" ds:itemID="{97A64623-D7EA-41AB-BADB-EA73F4202AC7}"/>
</file>

<file path=customXml/itemProps3.xml><?xml version="1.0" encoding="utf-8"?>
<ds:datastoreItem xmlns:ds="http://schemas.openxmlformats.org/officeDocument/2006/customXml" ds:itemID="{32BEA5B7-9F05-40F6-BD92-B2C1B14A1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2020-04-15T03:39:23Z</dcterms:created>
  <dcterms:modified xsi:type="dcterms:W3CDTF">2020-04-16T00:50:51Z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
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17190" windowHeight="928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4" i="1"/>
  <c r="L5" i="1"/>
  <c r="L6" i="1"/>
  <c r="L7" i="1"/>
  <c r="L8" i="1"/>
  <c r="L4" i="1"/>
</calcChain>
</file>

<file path=xl/sharedStrings.xml><?xml version="1.0" encoding="utf-8"?>
<sst xmlns="http://schemas.openxmlformats.org/spreadsheetml/2006/main" count="54" uniqueCount="38">
  <si>
    <t>Reference</t>
  </si>
  <si>
    <t>Units</t>
  </si>
  <si>
    <t>Description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</si>
  <si>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</si>
  <si>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</si>
  <si>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</si>
  <si>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</si>
  <si>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</si>
  <si>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</si>
  <si>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</si>
  <si>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</si>
  <si>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</si>
  <si>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</si>
  <si>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</si>
  <si>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</si>
  <si>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</si>
  <si>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</si>
  <si>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</si>
  <si>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</si>
  <si>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</si>
  <si>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</si>
  <si>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</si>
  <si>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</si>
  <si>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J20-0106</t>
  </si>
  <si>
    <t>&lt;0.2</t>
  </si>
  <si>
    <t>Spoil Grounds</t>
  </si>
  <si>
    <t>AP_AMB2</t>
  </si>
  <si>
    <t>Elliot River</t>
  </si>
  <si>
    <t>AP_AMB3</t>
  </si>
  <si>
    <t>Camp Island</t>
  </si>
  <si>
    <t>AP_AMB4</t>
  </si>
  <si>
    <t>Holbourne</t>
  </si>
  <si>
    <t>AP_AMB5</t>
  </si>
  <si>
    <t/>
  </si>
  <si>
    <t>PN</t>
  </si>
  <si>
    <t>PP</t>
  </si>
  <si>
    <t>AP_AMB1</t>
  </si>
  <si>
    <t>Euri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</si>
</sst>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0" fontId="1" fillId="2" borderId="0" xfId="0" applyNumberFormat="1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tabSelected="1" workbookViewId="0">
      <selection activeCell="E19" sqref="E19"/>
    </sheetView>
  </sheetViews>
  <sheetFormatPr defaultRowHeight="15" x14ac:dyDescent="0.25"/>
  <cols>
    <col min="2" max="2" width="9.28515625" bestFit="1" customWidth="1"/>
    <col min="3" max="3" width="12.28515625" bestFit="1" customWidth="1"/>
    <col min="4" max="4" width="21.42578125" bestFit="1" customWidth="1"/>
    <col min="5" max="5" width="23" bestFit="1" customWidth="1"/>
    <col min="6" max="6" width="20.42578125" style="18" bestFit="1" customWidth="1"/>
    <col min="7" max="7" width="18.85546875" style="18" bestFit="1" customWidth="1"/>
    <col min="8" max="8" width="6.85546875" style="18" bestFit="1" customWidth="1"/>
    <col min="9" max="9" width="5" style="18" bestFit="1" customWidth="1"/>
    <col min="10" max="10" width="12.5703125" style="18" bestFit="1" customWidth="1"/>
    <col min="11" max="11" width="21" style="18" bestFit="1" customWidth="1"/>
    <col min="12" max="12" width="12.5703125" style="18" customWidth="1"/>
    <col min="13" max="13" width="15.28515625" style="18" bestFit="1" customWidth="1"/>
    <col min="14" max="14" width="23.7109375" style="18" bestFit="1" customWidth="1"/>
    <col min="15" max="15" width="15.28515625" style="18" customWidth="1"/>
    <col min="16" max="16" width="11.7109375" style="18" bestFit="1" customWidth="1"/>
    <col min="17" max="17" width="12.42578125" style="18" bestFit="1" customWidth="1"/>
  </cols>
  <sheetData>
    <row r="1" spans="1:17" x14ac:dyDescent="0.25">
      <c r="A1" s="1" t="s">
        <v>0</v>
      </c>
      <c r="B1" s="2" t="s">
        <v>3</v>
      </c>
      <c r="C1" s="2" t="s">
        <v>3</v>
      </c>
      <c r="D1" s="2" t="s">
        <v>3</v>
      </c>
      <c r="E1" s="2" t="s">
        <v>6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16</v>
      </c>
      <c r="K1" s="2" t="s">
        <v>14</v>
      </c>
      <c r="L1" s="19" t="s">
        <v>34</v>
      </c>
      <c r="M1" s="2" t="s">
        <v>19</v>
      </c>
      <c r="N1" s="2" t="s">
        <v>17</v>
      </c>
      <c r="O1" s="21" t="s">
        <v>35</v>
      </c>
      <c r="P1" s="2" t="s">
        <v>20</v>
      </c>
      <c r="Q1" s="3" t="s">
        <v>22</v>
      </c>
    </row>
    <row r="2" spans="1:17" x14ac:dyDescent="0.25">
      <c r="A2" s="4"/>
      <c r="B2" s="6" t="s">
        <v>5</v>
      </c>
      <c r="C2" s="6" t="s">
        <v>2</v>
      </c>
      <c r="D2" s="6" t="s">
        <v>4</v>
      </c>
      <c r="E2" s="6"/>
      <c r="F2" s="6"/>
      <c r="G2" s="6"/>
      <c r="H2" s="6"/>
      <c r="I2" s="6"/>
      <c r="J2" s="6"/>
      <c r="K2" s="6"/>
      <c r="L2" s="20"/>
      <c r="M2" s="6"/>
      <c r="N2" s="6"/>
      <c r="O2" s="21"/>
      <c r="P2" s="6"/>
      <c r="Q2" s="7"/>
    </row>
    <row r="3" spans="1:17" x14ac:dyDescent="0.25">
      <c r="A3" s="4" t="s">
        <v>1</v>
      </c>
      <c r="B3" s="5"/>
      <c r="C3" s="5"/>
      <c r="D3" s="5"/>
      <c r="E3" s="6"/>
      <c r="F3" s="6" t="s">
        <v>8</v>
      </c>
      <c r="G3" s="6" t="s">
        <v>10</v>
      </c>
      <c r="H3" s="6" t="s">
        <v>12</v>
      </c>
      <c r="I3" s="6"/>
      <c r="J3" s="6" t="s">
        <v>15</v>
      </c>
      <c r="K3" s="6" t="s">
        <v>15</v>
      </c>
      <c r="L3" s="20" t="s">
        <v>15</v>
      </c>
      <c r="M3" s="6" t="s">
        <v>18</v>
      </c>
      <c r="N3" s="6" t="s">
        <v>18</v>
      </c>
      <c r="O3" s="21" t="s">
        <v>18</v>
      </c>
      <c r="P3" s="6" t="s">
        <v>21</v>
      </c>
      <c r="Q3" s="7" t="s">
        <v>21</v>
      </c>
    </row>
    <row r="4" spans="1:17" x14ac:dyDescent="0.25">
      <c r="A4" s="8" t="s">
        <v>23</v>
      </c>
      <c r="B4" s="9">
        <v>1</v>
      </c>
      <c r="C4" s="8" t="s">
        <v>37</v>
      </c>
      <c r="D4" s="15">
        <v>43925</v>
      </c>
      <c r="E4" s="10" t="s">
        <v>36</v>
      </c>
      <c r="F4" s="16">
        <v>2.1</v>
      </c>
      <c r="G4" s="16">
        <v>51160</v>
      </c>
      <c r="H4" s="16">
        <v>33.6</v>
      </c>
      <c r="I4" s="16">
        <v>8.33</v>
      </c>
      <c r="J4" s="16">
        <v>134</v>
      </c>
      <c r="K4" s="16">
        <v>116</v>
      </c>
      <c r="L4" s="21">
        <f>+J4-K4</f>
        <v>18</v>
      </c>
      <c r="M4" s="16">
        <v>7</v>
      </c>
      <c r="N4" s="16">
        <v>5</v>
      </c>
      <c r="O4" s="21">
        <f>+M4-N4</f>
        <v>2</v>
      </c>
      <c r="P4" s="16">
        <v>0.43</v>
      </c>
      <c r="Q4" s="16" t="s">
        <v>24</v>
      </c>
    </row>
    <row r="5" spans="1:17" x14ac:dyDescent="0.25">
      <c r="A5" s="8" t="s">
        <v>23</v>
      </c>
      <c r="B5" s="9">
        <v>2</v>
      </c>
      <c r="C5" s="8" t="s">
        <v>25</v>
      </c>
      <c r="D5" s="15">
        <v>43925</v>
      </c>
      <c r="E5" s="10" t="s">
        <v>26</v>
      </c>
      <c r="F5" s="16">
        <v>3.4</v>
      </c>
      <c r="G5" s="16">
        <v>51230</v>
      </c>
      <c r="H5" s="16">
        <v>33.6</v>
      </c>
      <c r="I5" s="16">
        <v>8.27</v>
      </c>
      <c r="J5" s="16">
        <v>105</v>
      </c>
      <c r="K5" s="16">
        <v>90</v>
      </c>
      <c r="L5" s="21">
        <f t="shared" ref="L5:L8" si="0">+J5-K5</f>
        <v>15</v>
      </c>
      <c r="M5" s="16">
        <v>6</v>
      </c>
      <c r="N5" s="16">
        <v>5</v>
      </c>
      <c r="O5" s="21">
        <f t="shared" ref="O5:O8" si="1">+M5-N5</f>
        <v>1</v>
      </c>
      <c r="P5" s="16">
        <v>0.28000000000000003</v>
      </c>
      <c r="Q5" s="16" t="s">
        <v>24</v>
      </c>
    </row>
    <row r="6" spans="1:17" x14ac:dyDescent="0.25">
      <c r="A6" s="8" t="s">
        <v>23</v>
      </c>
      <c r="B6" s="9">
        <v>3</v>
      </c>
      <c r="C6" s="8" t="s">
        <v>27</v>
      </c>
      <c r="D6" s="15">
        <v>43925</v>
      </c>
      <c r="E6" s="10" t="s">
        <v>28</v>
      </c>
      <c r="F6" s="16">
        <v>3</v>
      </c>
      <c r="G6" s="16">
        <v>51350</v>
      </c>
      <c r="H6" s="16">
        <v>33.700000000000003</v>
      </c>
      <c r="I6" s="16">
        <v>8.32</v>
      </c>
      <c r="J6" s="16">
        <v>117</v>
      </c>
      <c r="K6" s="16">
        <v>102</v>
      </c>
      <c r="L6" s="21">
        <f t="shared" si="0"/>
        <v>15</v>
      </c>
      <c r="M6" s="16">
        <v>6</v>
      </c>
      <c r="N6" s="16">
        <v>4</v>
      </c>
      <c r="O6" s="21">
        <f t="shared" si="1"/>
        <v>2</v>
      </c>
      <c r="P6" s="16">
        <v>0.36</v>
      </c>
      <c r="Q6" s="16" t="s">
        <v>24</v>
      </c>
    </row>
    <row r="7" spans="1:17" x14ac:dyDescent="0.25">
      <c r="A7" s="8" t="s">
        <v>23</v>
      </c>
      <c r="B7" s="9">
        <v>4</v>
      </c>
      <c r="C7" s="8" t="s">
        <v>29</v>
      </c>
      <c r="D7" s="15">
        <v>43925</v>
      </c>
      <c r="E7" s="10" t="s">
        <v>30</v>
      </c>
      <c r="F7" s="16">
        <v>2.2000000000000002</v>
      </c>
      <c r="G7" s="16">
        <v>51150</v>
      </c>
      <c r="H7" s="16">
        <v>33.6</v>
      </c>
      <c r="I7" s="16">
        <v>8.31</v>
      </c>
      <c r="J7" s="16">
        <v>115</v>
      </c>
      <c r="K7" s="16">
        <v>102</v>
      </c>
      <c r="L7" s="21">
        <f t="shared" si="0"/>
        <v>13</v>
      </c>
      <c r="M7" s="16">
        <v>6</v>
      </c>
      <c r="N7" s="16">
        <v>4</v>
      </c>
      <c r="O7" s="21">
        <f t="shared" si="1"/>
        <v>2</v>
      </c>
      <c r="P7" s="16">
        <v>0.45</v>
      </c>
      <c r="Q7" s="16" t="s">
        <v>24</v>
      </c>
    </row>
    <row r="8" spans="1:17" x14ac:dyDescent="0.25">
      <c r="A8" s="8" t="s">
        <v>23</v>
      </c>
      <c r="B8" s="9">
        <v>5</v>
      </c>
      <c r="C8" s="8" t="s">
        <v>31</v>
      </c>
      <c r="D8" s="15">
        <v>43925</v>
      </c>
      <c r="E8" s="10" t="s">
        <v>32</v>
      </c>
      <c r="F8" s="16">
        <v>1.9</v>
      </c>
      <c r="G8" s="16">
        <v>51830</v>
      </c>
      <c r="H8" s="16">
        <v>34.1</v>
      </c>
      <c r="I8" s="16">
        <v>8.34</v>
      </c>
      <c r="J8" s="16">
        <v>129</v>
      </c>
      <c r="K8" s="16">
        <v>96</v>
      </c>
      <c r="L8" s="21">
        <f t="shared" si="0"/>
        <v>33</v>
      </c>
      <c r="M8" s="16">
        <v>6</v>
      </c>
      <c r="N8" s="16">
        <v>5</v>
      </c>
      <c r="O8" s="21">
        <f t="shared" si="1"/>
        <v>1</v>
      </c>
      <c r="P8" s="16">
        <v>0.34</v>
      </c>
      <c r="Q8" s="16" t="s">
        <v>24</v>
      </c>
    </row>
    <row r="9" spans="1:17" x14ac:dyDescent="0.25">
      <c r="A9" s="12" t="s">
        <v>33</v>
      </c>
      <c r="B9" s="14"/>
      <c r="C9" s="12" t="s">
        <v>33</v>
      </c>
      <c r="D9" s="13"/>
      <c r="E9" s="11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</sheetData>
  <pageMargins left="0.7" right="0.7" top="0.75" bottom="0.75" header="0.3" footer="0.3"/>
  <pageSetup paperSize="9" scale="52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68F88E-A91A-4FFE-A9B6-BA8DD53255D3}"/>
</file>

<file path=customXml/itemProps2.xml><?xml version="1.0" encoding="utf-8"?>
<ds:datastoreItem xmlns:ds="http://schemas.openxmlformats.org/officeDocument/2006/customXml" ds:itemID="{4EF497AF-D661-4D66-9BC3-5FDADAC238F7}"/>
</file>

<file path=customXml/itemProps3.xml><?xml version="1.0" encoding="utf-8"?>
<ds:datastoreItem xmlns:ds="http://schemas.openxmlformats.org/officeDocument/2006/customXml" ds:itemID="{0CE10625-46EE-4111-AC44-9ECE8457B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2020-05-12T06:23:29Z</cp:lastPrinted>
  <dcterms:created xsi:type="dcterms:W3CDTF">2020-05-12T06:15:49Z</dcterms:created>
  <dcterms:modified xsi:type="dcterms:W3CDTF">2020-05-13T01:03:45Z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